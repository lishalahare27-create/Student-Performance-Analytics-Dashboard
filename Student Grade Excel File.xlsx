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itanya CB\Desktop\Chaitanya\DA\DA Besant\SQL\"/>
    </mc:Choice>
  </mc:AlternateContent>
  <xr:revisionPtr revIDLastSave="0" documentId="13_ncr:1_{2BE82ADE-70C0-48AA-828E-DB900AADAC17}" xr6:coauthVersionLast="47" xr6:coauthVersionMax="47" xr10:uidLastSave="{00000000-0000-0000-0000-000000000000}"/>
  <bookViews>
    <workbookView xWindow="-108" yWindow="-108" windowWidth="23256" windowHeight="13176" tabRatio="648" firstSheet="7" activeTab="8" xr2:uid="{12B887DB-7E35-43A8-B242-4123EE43B2F9}"/>
  </bookViews>
  <sheets>
    <sheet name="Original" sheetId="1" r:id="rId1"/>
    <sheet name="Attendance" sheetId="19" r:id="rId2"/>
    <sheet name="Students" sheetId="13" r:id="rId3"/>
    <sheet name="Courses" sheetId="14" r:id="rId4"/>
    <sheet name="Enrollments" sheetId="15" r:id="rId5"/>
    <sheet name="Exams" sheetId="16" r:id="rId6"/>
    <sheet name="Instructors" sheetId="17" r:id="rId7"/>
    <sheet name="Payments" sheetId="18" r:id="rId8"/>
    <sheet name="Analysis Data" sheetId="6" r:id="rId9"/>
    <sheet name="Dashboard" sheetId="3" r:id="rId10"/>
    <sheet name="Average Score By Department" sheetId="7" r:id="rId11"/>
    <sheet name="Students By Department" sheetId="9" r:id="rId12"/>
    <sheet name="Top Scorer By Course" sheetId="10" r:id="rId13"/>
    <sheet name="Attendance vs Score" sheetId="11" r:id="rId14"/>
    <sheet name="Payment Analysis" sheetId="12" r:id="rId15"/>
  </sheets>
  <calcPr calcId="191029"/>
  <pivotCaches>
    <pivotCache cacheId="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2" i="6"/>
  <c r="K2" i="6"/>
  <c r="K3" i="6"/>
  <c r="K4" i="6"/>
  <c r="K5" i="6"/>
  <c r="K6" i="6"/>
  <c r="K7" i="6"/>
  <c r="K8" i="6"/>
  <c r="K9" i="6"/>
  <c r="K10" i="6"/>
  <c r="B9" i="6" s="1"/>
  <c r="K11" i="6"/>
  <c r="K12" i="6"/>
  <c r="H2" i="6"/>
  <c r="H3" i="6"/>
  <c r="H4" i="6"/>
  <c r="H5" i="6"/>
  <c r="H6" i="6"/>
  <c r="H7" i="6"/>
  <c r="H8" i="6"/>
  <c r="H9" i="6"/>
  <c r="H10" i="6"/>
  <c r="H11" i="6"/>
  <c r="H12" i="6"/>
  <c r="G4" i="6"/>
  <c r="G5" i="6"/>
  <c r="G6" i="6"/>
  <c r="G7" i="6"/>
  <c r="G8" i="6"/>
  <c r="G9" i="6"/>
  <c r="G10" i="6"/>
  <c r="G11" i="6"/>
  <c r="G12" i="6"/>
  <c r="G3" i="6"/>
  <c r="G2" i="6"/>
  <c r="F12" i="6"/>
  <c r="F3" i="6"/>
  <c r="F4" i="6"/>
  <c r="F5" i="6"/>
  <c r="F6" i="6"/>
  <c r="F7" i="6"/>
  <c r="F8" i="6"/>
  <c r="F9" i="6"/>
  <c r="F10" i="6"/>
  <c r="F11" i="6"/>
  <c r="F2" i="6"/>
  <c r="B2" i="6"/>
  <c r="B3" i="6"/>
  <c r="B7" i="6" l="1"/>
  <c r="B8" i="6"/>
  <c r="B6" i="6"/>
  <c r="J2" i="6"/>
  <c r="I2" i="6"/>
  <c r="I3" i="6"/>
  <c r="J3" i="6"/>
  <c r="I4" i="6"/>
  <c r="J4" i="6"/>
  <c r="J5" i="6"/>
  <c r="I5" i="6"/>
  <c r="I6" i="6"/>
  <c r="J6" i="6"/>
  <c r="J7" i="6"/>
  <c r="I7" i="6"/>
  <c r="I8" i="6"/>
  <c r="J8" i="6"/>
  <c r="I9" i="6"/>
  <c r="J9" i="6"/>
  <c r="J10" i="6"/>
  <c r="I10" i="6"/>
  <c r="I11" i="6"/>
  <c r="J11" i="6"/>
  <c r="J12" i="6"/>
  <c r="I12" i="6"/>
  <c r="N12" i="6"/>
  <c r="M12" i="6" a="1"/>
  <c r="M12" i="6" s="1"/>
  <c r="M3" i="6" a="1"/>
  <c r="M3" i="6" s="1"/>
  <c r="N3" i="6"/>
  <c r="M4" i="6" a="1"/>
  <c r="M4" i="6" s="1"/>
  <c r="B13" i="6" s="1"/>
  <c r="N4" i="6"/>
  <c r="M5" i="6" a="1"/>
  <c r="M5" i="6" s="1"/>
  <c r="N5" i="6"/>
  <c r="M6" i="6" a="1"/>
  <c r="M6" i="6" s="1"/>
  <c r="N6" i="6"/>
  <c r="M7" i="6" a="1"/>
  <c r="M7" i="6" s="1"/>
  <c r="B14" i="6" s="1"/>
  <c r="N7" i="6"/>
  <c r="M8" i="6" a="1"/>
  <c r="M8" i="6" s="1"/>
  <c r="N8" i="6"/>
  <c r="M9" i="6" a="1"/>
  <c r="M9" i="6" s="1"/>
  <c r="N9" i="6"/>
  <c r="M10" i="6" a="1"/>
  <c r="M10" i="6" s="1"/>
  <c r="N10" i="6"/>
  <c r="M11" i="6" a="1"/>
  <c r="M11" i="6" s="1"/>
  <c r="N11" i="6"/>
  <c r="N2" i="6"/>
  <c r="M2" i="6" a="1"/>
  <c r="M2" i="6" s="1"/>
  <c r="B12" i="6" s="1"/>
  <c r="B16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747E57-FFE8-4471-8280-A09C42C920D8}" keepAlive="1" name="Query - ODBC (dsn=dBASE Files)" description="Connection to the 'ODBC (dsn=dBASE Files)' query in the workbook." type="5" refreshedVersion="0" background="1">
    <dbPr connection="Provider=Microsoft.Mashup.OleDb.1;Data Source=$Workbook$;Location=&quot;ODBC (dsn=dBASE Files)&quot;;Extended Properties=&quot;&quot;" command="SELECT * FROM [ODBC (dsn=dBASE Files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<sst xmlns="http://schemas.openxmlformats.org/spreadsheetml/2006/main" count="341" uniqueCount="98">
  <si>
    <t>Arjun</t>
  </si>
  <si>
    <t>M</t>
  </si>
  <si>
    <t>Bangalore</t>
  </si>
  <si>
    <t>Computer Science</t>
  </si>
  <si>
    <t>Meera</t>
  </si>
  <si>
    <t>F</t>
  </si>
  <si>
    <t>Mumbai</t>
  </si>
  <si>
    <t>Ravi</t>
  </si>
  <si>
    <t>Hyderabad</t>
  </si>
  <si>
    <t>Mechanical</t>
  </si>
  <si>
    <t>Sneha</t>
  </si>
  <si>
    <t>Chennai</t>
  </si>
  <si>
    <t>Electrical</t>
  </si>
  <si>
    <t>Vikram</t>
  </si>
  <si>
    <t>Pune</t>
  </si>
  <si>
    <t>Priya</t>
  </si>
  <si>
    <t>Rohit</t>
  </si>
  <si>
    <t>Delhi</t>
  </si>
  <si>
    <t>Neha</t>
  </si>
  <si>
    <t>Civil</t>
  </si>
  <si>
    <t>Kiran</t>
  </si>
  <si>
    <t>Anjali</t>
  </si>
  <si>
    <t>Data Structures</t>
  </si>
  <si>
    <t>Machine Learning</t>
  </si>
  <si>
    <t>Thermodynamics</t>
  </si>
  <si>
    <t>Circuit Analysis</t>
  </si>
  <si>
    <t>Structural Design</t>
  </si>
  <si>
    <t>Database Systems</t>
  </si>
  <si>
    <t>Fall</t>
  </si>
  <si>
    <t>Spring</t>
  </si>
  <si>
    <t>A</t>
  </si>
  <si>
    <t>B</t>
  </si>
  <si>
    <t>C</t>
  </si>
  <si>
    <t>Dr Sharma</t>
  </si>
  <si>
    <t>Dr Iyer</t>
  </si>
  <si>
    <t>Dr Gupta</t>
  </si>
  <si>
    <t>Dr Nair</t>
  </si>
  <si>
    <t>Dr Kapoor</t>
  </si>
  <si>
    <t>HDFC Debit Card</t>
  </si>
  <si>
    <t>UPI</t>
  </si>
  <si>
    <t>Cash</t>
  </si>
  <si>
    <t>Credit Card</t>
  </si>
  <si>
    <t>present</t>
  </si>
  <si>
    <t>absent</t>
  </si>
  <si>
    <t>excused</t>
  </si>
  <si>
    <t>Student ID</t>
  </si>
  <si>
    <t>Student Name</t>
  </si>
  <si>
    <t>Gender</t>
  </si>
  <si>
    <t>Age</t>
  </si>
  <si>
    <t>City</t>
  </si>
  <si>
    <t>Department</t>
  </si>
  <si>
    <t>Admission Year</t>
  </si>
  <si>
    <t>Exam ID</t>
  </si>
  <si>
    <t>Course ID</t>
  </si>
  <si>
    <t>Score</t>
  </si>
  <si>
    <t>Grade</t>
  </si>
  <si>
    <t xml:space="preserve">Course Name </t>
  </si>
  <si>
    <t>Instructor ID</t>
  </si>
  <si>
    <t>Credits</t>
  </si>
  <si>
    <t>Instructor Name</t>
  </si>
  <si>
    <t xml:space="preserve">Department </t>
  </si>
  <si>
    <t>Experience Years</t>
  </si>
  <si>
    <t>Salary</t>
  </si>
  <si>
    <t>Enrollment ID</t>
  </si>
  <si>
    <t>Semester</t>
  </si>
  <si>
    <t>Year</t>
  </si>
  <si>
    <t>Payment ID</t>
  </si>
  <si>
    <t>Amount Paid</t>
  </si>
  <si>
    <t>Payment Date</t>
  </si>
  <si>
    <t>Payment Method</t>
  </si>
  <si>
    <t>Attendance ID</t>
  </si>
  <si>
    <t>Attendance Date</t>
  </si>
  <si>
    <t>Status</t>
  </si>
  <si>
    <t xml:space="preserve">STUDENTS </t>
  </si>
  <si>
    <t>COURSES</t>
  </si>
  <si>
    <t>ENROLLMENTS</t>
  </si>
  <si>
    <t>EXAMS</t>
  </si>
  <si>
    <t xml:space="preserve">INSTRUCTORS </t>
  </si>
  <si>
    <t>PAYMENT S</t>
  </si>
  <si>
    <t>ATTENDANCE</t>
  </si>
  <si>
    <t>Course Name</t>
  </si>
  <si>
    <t>Attendance Status</t>
  </si>
  <si>
    <t>Present</t>
  </si>
  <si>
    <t>Absent</t>
  </si>
  <si>
    <t>Excused</t>
  </si>
  <si>
    <t>Total payment Amont</t>
  </si>
  <si>
    <t>Attendance Count By Status</t>
  </si>
  <si>
    <t>Average Score By Department</t>
  </si>
  <si>
    <t>Average Age of Students</t>
  </si>
  <si>
    <t>Average Score Overall</t>
  </si>
  <si>
    <t>Row Labels</t>
  </si>
  <si>
    <t>Grand Total</t>
  </si>
  <si>
    <t>Average of Score</t>
  </si>
  <si>
    <t>Count of Student ID</t>
  </si>
  <si>
    <t>Max of Score</t>
  </si>
  <si>
    <t>No Record</t>
  </si>
  <si>
    <t>Sum of Amount Paid</t>
  </si>
  <si>
    <t>Student Grade Management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</si>
</sst>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17">
    <dxf>
      <numFmt numFmtId="19" formatCode="dd/mm/yyyy"/>
    </dxf>
    <dxf>
      <numFmt numFmtId="19" formatCode="dd/mm/yyyy"/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Grade Excel File.xlsx]Average Score By Department!PivotTable1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Student Score by Department</a:t>
            </a:r>
            <a:endParaRPr lang="en-US"/>
          </a:p>
        </c:rich>
      </c:tx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Score By Department'!$B$1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Score By Department'!$A$2:$A$6</c:f>
              <c:strCache>
                <c:ptCount val="4"/>
                <c:pt idx="0">
                  <c:v>Civil</c:v>
                </c:pt>
                <c:pt idx="1">
                  <c:v>Computer Science</c:v>
                </c:pt>
                <c:pt idx="2">
                  <c:v>Electrical</c:v>
                </c:pt>
                <c:pt idx="3">
                  <c:v>Mechanical</c:v>
                </c:pt>
              </c:strCache>
            </c:strRef>
          </c:cat>
          <c:val>
            <c:numRef>
              <c:f>'Average Score By Department'!$B$2:$B$6</c:f>
              <c:numCache>
                <c:formatCode>General</c:formatCode>
                <c:ptCount val="4"/>
                <c:pt idx="0">
                  <c:v>82</c:v>
                </c:pt>
                <c:pt idx="1">
                  <c:v>88</c:v>
                </c:pt>
                <c:pt idx="2">
                  <c:v>74.5</c:v>
                </c:pt>
                <c:pt idx="3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15-4ECD-9856-A4C2B590B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4859776"/>
        <c:axId val="1824860256"/>
      </c:barChart>
      <c:catAx>
        <c:axId val="182485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860256"/>
        <c:crosses val="autoZero"/>
        <c:auto val="1"/>
        <c:lblAlgn val="ctr"/>
        <c:lblOffset val="100"/>
        <c:noMultiLvlLbl val="0"/>
      </c:catAx>
      <c:valAx>
        <c:axId val="182486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85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Grade Excel File.xlsx]Students By Department!PivotTable2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Students By Department</a:t>
            </a:r>
          </a:p>
        </c:rich>
      </c:tx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accen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accen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>
            <a:solidFill>
              <a:schemeClr val="accen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'Students By Department'!$B$1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C1-4D55-9974-528C9BAE4C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AC1-4D55-9974-528C9BAE4C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AC1-4D55-9974-528C9BAE4C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AC1-4D55-9974-528C9BAE4C1E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'Students By Department'!$A$2:$A$6</c:f>
              <c:strCache>
                <c:ptCount val="4"/>
                <c:pt idx="0">
                  <c:v>Civil</c:v>
                </c:pt>
                <c:pt idx="1">
                  <c:v>Computer Science</c:v>
                </c:pt>
                <c:pt idx="2">
                  <c:v>Electrical</c:v>
                </c:pt>
                <c:pt idx="3">
                  <c:v>Mechanical</c:v>
                </c:pt>
              </c:strCache>
            </c:strRef>
          </c:cat>
          <c:val>
            <c:numRef>
              <c:f>'Students By Department'!$B$2:$B$6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AC1-4D55-9974-528C9BAE4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Grade Excel File.xlsx]Attendance vs Score!PivotTable4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 vs Score</a:t>
            </a:r>
          </a:p>
        </c:rich>
      </c:tx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'Attendance vs Score'!$B$1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6A1-46D8-AAEF-BE53B7F533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6A1-46D8-AAEF-BE53B7F533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6A1-46D8-AAEF-BE53B7F533A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6A1-46D8-AAEF-BE53B7F533AB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'Attendance vs Score'!$A$2:$A$6</c:f>
              <c:strCache>
                <c:ptCount val="4"/>
                <c:pt idx="0">
                  <c:v>absent</c:v>
                </c:pt>
                <c:pt idx="1">
                  <c:v>excused</c:v>
                </c:pt>
                <c:pt idx="2">
                  <c:v>No Record</c:v>
                </c:pt>
                <c:pt idx="3">
                  <c:v>present</c:v>
                </c:pt>
              </c:strCache>
            </c:strRef>
          </c:cat>
          <c:val>
            <c:numRef>
              <c:f>'Attendance vs Score'!$B$2:$B$6</c:f>
              <c:numCache>
                <c:formatCode>General</c:formatCode>
                <c:ptCount val="4"/>
                <c:pt idx="0">
                  <c:v>76</c:v>
                </c:pt>
                <c:pt idx="1">
                  <c:v>73</c:v>
                </c:pt>
                <c:pt idx="2">
                  <c:v>83.2</c:v>
                </c:pt>
                <c:pt idx="3">
                  <c:v>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6A1-46D8-AAEF-BE53B7F53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Grade Excel File.xlsx]Top Scorer By Course!PivotTable3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Scorer By Course</a:t>
            </a:r>
          </a:p>
        </c:rich>
      </c:tx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Scorer By Course'!$B$1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Scorer By Course'!$A$2:$A$8</c:f>
              <c:strCache>
                <c:ptCount val="6"/>
                <c:pt idx="0">
                  <c:v>Circuit Analysis</c:v>
                </c:pt>
                <c:pt idx="1">
                  <c:v>Data Structures</c:v>
                </c:pt>
                <c:pt idx="2">
                  <c:v>Database Systems</c:v>
                </c:pt>
                <c:pt idx="3">
                  <c:v>Machine Learning</c:v>
                </c:pt>
                <c:pt idx="4">
                  <c:v>Structural Design</c:v>
                </c:pt>
                <c:pt idx="5">
                  <c:v>Thermodynamics</c:v>
                </c:pt>
              </c:strCache>
            </c:strRef>
          </c:cat>
          <c:val>
            <c:numRef>
              <c:f>'Top Scorer By Course'!$B$2:$B$8</c:f>
              <c:numCache>
                <c:formatCode>General</c:formatCode>
                <c:ptCount val="6"/>
                <c:pt idx="0">
                  <c:v>82</c:v>
                </c:pt>
                <c:pt idx="1">
                  <c:v>88</c:v>
                </c:pt>
                <c:pt idx="2">
                  <c:v>90</c:v>
                </c:pt>
                <c:pt idx="3">
                  <c:v>95</c:v>
                </c:pt>
                <c:pt idx="4">
                  <c:v>85</c:v>
                </c:pt>
                <c:pt idx="5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83-4C72-86B5-2A4E5C3DD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24878016"/>
        <c:axId val="1824879936"/>
      </c:barChart>
      <c:catAx>
        <c:axId val="1824878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879936"/>
        <c:crosses val="autoZero"/>
        <c:auto val="1"/>
        <c:lblAlgn val="ctr"/>
        <c:lblOffset val="100"/>
        <c:noMultiLvlLbl val="1"/>
      </c:catAx>
      <c:valAx>
        <c:axId val="1824879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87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Grade Excel File.xlsx]Payment Analysis!PivotTable5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Analysis</a:t>
            </a:r>
          </a:p>
        </c:rich>
      </c:tx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Analysis'!$A$2:$A$12</c:f>
              <c:strCache>
                <c:ptCount val="10"/>
                <c:pt idx="0">
                  <c:v>Anjali</c:v>
                </c:pt>
                <c:pt idx="1">
                  <c:v>Arjun</c:v>
                </c:pt>
                <c:pt idx="2">
                  <c:v>Kiran</c:v>
                </c:pt>
                <c:pt idx="3">
                  <c:v>Meera</c:v>
                </c:pt>
                <c:pt idx="4">
                  <c:v>Neha</c:v>
                </c:pt>
                <c:pt idx="5">
                  <c:v>Priya</c:v>
                </c:pt>
                <c:pt idx="6">
                  <c:v>Ravi</c:v>
                </c:pt>
                <c:pt idx="7">
                  <c:v>Rohit</c:v>
                </c:pt>
                <c:pt idx="8">
                  <c:v>Sneha</c:v>
                </c:pt>
                <c:pt idx="9">
                  <c:v>Vikram</c:v>
                </c:pt>
              </c:strCache>
            </c:strRef>
          </c:cat>
          <c:val>
            <c:numRef>
              <c:f>'Payment Analysis'!$B$2:$B$12</c:f>
              <c:numCache>
                <c:formatCode>General</c:formatCode>
                <c:ptCount val="10"/>
                <c:pt idx="0">
                  <c:v>0</c:v>
                </c:pt>
                <c:pt idx="1">
                  <c:v>30000</c:v>
                </c:pt>
                <c:pt idx="2">
                  <c:v>0</c:v>
                </c:pt>
                <c:pt idx="3">
                  <c:v>15000</c:v>
                </c:pt>
                <c:pt idx="4">
                  <c:v>0</c:v>
                </c:pt>
                <c:pt idx="5">
                  <c:v>0</c:v>
                </c:pt>
                <c:pt idx="6">
                  <c:v>12000</c:v>
                </c:pt>
                <c:pt idx="7">
                  <c:v>0</c:v>
                </c:pt>
                <c:pt idx="8">
                  <c:v>15000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4D-40DB-9208-AAEC53120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9525456"/>
        <c:axId val="1629527856"/>
      </c:barChart>
      <c:catAx>
        <c:axId val="162952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527856"/>
        <c:crosses val="autoZero"/>
        <c:auto val="1"/>
        <c:lblAlgn val="ctr"/>
        <c:lblOffset val="100"/>
        <c:noMultiLvlLbl val="0"/>
      </c:catAx>
      <c:valAx>
        <c:axId val="162952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52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Grade Excel File.xlsx]Average Score By Department!PivotTable1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Student Score by Department</a:t>
            </a:r>
            <a:endParaRPr lang="en-US"/>
          </a:p>
        </c:rich>
      </c:tx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Score By Department'!$B$1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Score By Department'!$A$2:$A$6</c:f>
              <c:strCache>
                <c:ptCount val="4"/>
                <c:pt idx="0">
                  <c:v>Civil</c:v>
                </c:pt>
                <c:pt idx="1">
                  <c:v>Computer Science</c:v>
                </c:pt>
                <c:pt idx="2">
                  <c:v>Electrical</c:v>
                </c:pt>
                <c:pt idx="3">
                  <c:v>Mechanical</c:v>
                </c:pt>
              </c:strCache>
            </c:strRef>
          </c:cat>
          <c:val>
            <c:numRef>
              <c:f>'Average Score By Department'!$B$2:$B$6</c:f>
              <c:numCache>
                <c:formatCode>General</c:formatCode>
                <c:ptCount val="4"/>
                <c:pt idx="0">
                  <c:v>82</c:v>
                </c:pt>
                <c:pt idx="1">
                  <c:v>88</c:v>
                </c:pt>
                <c:pt idx="2">
                  <c:v>74.5</c:v>
                </c:pt>
                <c:pt idx="3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0-4F2B-824E-B8EE95A29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4859776"/>
        <c:axId val="1824860256"/>
      </c:barChart>
      <c:catAx>
        <c:axId val="182485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860256"/>
        <c:crosses val="autoZero"/>
        <c:auto val="1"/>
        <c:lblAlgn val="ctr"/>
        <c:lblOffset val="100"/>
        <c:noMultiLvlLbl val="0"/>
      </c:catAx>
      <c:valAx>
        <c:axId val="182486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85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Grade Excel File.xlsx]Students By Department!PivotTable2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Students By Department</a:t>
            </a:r>
          </a:p>
        </c:rich>
      </c:tx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accen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'Students By Department'!$B$1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A22-4990-B9F3-60F7DE24F6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511-4609-BA37-E039734E23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511-4609-BA37-E039734E23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511-4609-BA37-E039734E2353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'Students By Department'!$A$2:$A$6</c:f>
              <c:strCache>
                <c:ptCount val="4"/>
                <c:pt idx="0">
                  <c:v>Civil</c:v>
                </c:pt>
                <c:pt idx="1">
                  <c:v>Computer Science</c:v>
                </c:pt>
                <c:pt idx="2">
                  <c:v>Electrical</c:v>
                </c:pt>
                <c:pt idx="3">
                  <c:v>Mechanical</c:v>
                </c:pt>
              </c:strCache>
            </c:strRef>
          </c:cat>
          <c:val>
            <c:numRef>
              <c:f>'Students By Department'!$B$2:$B$6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22-4990-B9F3-60F7DE24F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Grade Excel File.xlsx]Top Scorer By Course!PivotTable3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Scorer By Course</a:t>
            </a:r>
          </a:p>
        </c:rich>
      </c:tx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Scorer By Course'!$B$1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Scorer By Course'!$A$2:$A$8</c:f>
              <c:strCache>
                <c:ptCount val="6"/>
                <c:pt idx="0">
                  <c:v>Circuit Analysis</c:v>
                </c:pt>
                <c:pt idx="1">
                  <c:v>Data Structures</c:v>
                </c:pt>
                <c:pt idx="2">
                  <c:v>Database Systems</c:v>
                </c:pt>
                <c:pt idx="3">
                  <c:v>Machine Learning</c:v>
                </c:pt>
                <c:pt idx="4">
                  <c:v>Structural Design</c:v>
                </c:pt>
                <c:pt idx="5">
                  <c:v>Thermodynamics</c:v>
                </c:pt>
              </c:strCache>
            </c:strRef>
          </c:cat>
          <c:val>
            <c:numRef>
              <c:f>'Top Scorer By Course'!$B$2:$B$8</c:f>
              <c:numCache>
                <c:formatCode>General</c:formatCode>
                <c:ptCount val="6"/>
                <c:pt idx="0">
                  <c:v>82</c:v>
                </c:pt>
                <c:pt idx="1">
                  <c:v>88</c:v>
                </c:pt>
                <c:pt idx="2">
                  <c:v>90</c:v>
                </c:pt>
                <c:pt idx="3">
                  <c:v>95</c:v>
                </c:pt>
                <c:pt idx="4">
                  <c:v>85</c:v>
                </c:pt>
                <c:pt idx="5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5-4A29-BC91-63B5A24A3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24878016"/>
        <c:axId val="1824879936"/>
      </c:barChart>
      <c:catAx>
        <c:axId val="1824878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879936"/>
        <c:crosses val="autoZero"/>
        <c:auto val="1"/>
        <c:lblAlgn val="ctr"/>
        <c:lblOffset val="100"/>
        <c:noMultiLvlLbl val="1"/>
      </c:catAx>
      <c:valAx>
        <c:axId val="1824879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87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Grade Excel File.xlsx]Attendance vs Score!PivotTable4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 vs Score</a:t>
            </a:r>
          </a:p>
        </c:rich>
      </c:tx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'Attendance vs Score'!$B$1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006-4D97-93F5-0731C1A766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006-4D97-93F5-0731C1A766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006-4D97-93F5-0731C1A766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006-4D97-93F5-0731C1A76643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'Attendance vs Score'!$A$2:$A$6</c:f>
              <c:strCache>
                <c:ptCount val="4"/>
                <c:pt idx="0">
                  <c:v>absent</c:v>
                </c:pt>
                <c:pt idx="1">
                  <c:v>excused</c:v>
                </c:pt>
                <c:pt idx="2">
                  <c:v>No Record</c:v>
                </c:pt>
                <c:pt idx="3">
                  <c:v>present</c:v>
                </c:pt>
              </c:strCache>
            </c:strRef>
          </c:cat>
          <c:val>
            <c:numRef>
              <c:f>'Attendance vs Score'!$B$2:$B$6</c:f>
              <c:numCache>
                <c:formatCode>General</c:formatCode>
                <c:ptCount val="4"/>
                <c:pt idx="0">
                  <c:v>76</c:v>
                </c:pt>
                <c:pt idx="1">
                  <c:v>73</c:v>
                </c:pt>
                <c:pt idx="2">
                  <c:v>83.2</c:v>
                </c:pt>
                <c:pt idx="3">
                  <c:v>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05-4993-BA25-EB8E5A6C8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Grade Excel File.xlsx]Payment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Analysis</a:t>
            </a:r>
          </a:p>
        </c:rich>
      </c:tx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Analysis'!$A$2:$A$12</c:f>
              <c:strCache>
                <c:ptCount val="10"/>
                <c:pt idx="0">
                  <c:v>Anjali</c:v>
                </c:pt>
                <c:pt idx="1">
                  <c:v>Arjun</c:v>
                </c:pt>
                <c:pt idx="2">
                  <c:v>Kiran</c:v>
                </c:pt>
                <c:pt idx="3">
                  <c:v>Meera</c:v>
                </c:pt>
                <c:pt idx="4">
                  <c:v>Neha</c:v>
                </c:pt>
                <c:pt idx="5">
                  <c:v>Priya</c:v>
                </c:pt>
                <c:pt idx="6">
                  <c:v>Ravi</c:v>
                </c:pt>
                <c:pt idx="7">
                  <c:v>Rohit</c:v>
                </c:pt>
                <c:pt idx="8">
                  <c:v>Sneha</c:v>
                </c:pt>
                <c:pt idx="9">
                  <c:v>Vikram</c:v>
                </c:pt>
              </c:strCache>
            </c:strRef>
          </c:cat>
          <c:val>
            <c:numRef>
              <c:f>'Payment Analysis'!$B$2:$B$12</c:f>
              <c:numCache>
                <c:formatCode>General</c:formatCode>
                <c:ptCount val="10"/>
                <c:pt idx="0">
                  <c:v>0</c:v>
                </c:pt>
                <c:pt idx="1">
                  <c:v>30000</c:v>
                </c:pt>
                <c:pt idx="2">
                  <c:v>0</c:v>
                </c:pt>
                <c:pt idx="3">
                  <c:v>15000</c:v>
                </c:pt>
                <c:pt idx="4">
                  <c:v>0</c:v>
                </c:pt>
                <c:pt idx="5">
                  <c:v>0</c:v>
                </c:pt>
                <c:pt idx="6">
                  <c:v>12000</c:v>
                </c:pt>
                <c:pt idx="7">
                  <c:v>0</c:v>
                </c:pt>
                <c:pt idx="8">
                  <c:v>15000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8-41EE-922B-EC6CFAD1D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9525456"/>
        <c:axId val="1629527856"/>
      </c:barChart>
      <c:catAx>
        <c:axId val="162952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527856"/>
        <c:crosses val="autoZero"/>
        <c:auto val="1"/>
        <c:lblAlgn val="ctr"/>
        <c:lblOffset val="100"/>
        <c:noMultiLvlLbl val="0"/>
      </c:catAx>
      <c:valAx>
        <c:axId val="162952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52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22860</xdr:rowOff>
    </xdr:from>
    <xdr:to>
      <xdr:col>9</xdr:col>
      <xdr:colOff>502920</xdr:colOff>
      <xdr:row>23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2AD471-04DF-447A-B8A5-94D5DD80D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92210</xdr:colOff>
      <xdr:row>25</xdr:row>
      <xdr:rowOff>92133</xdr:rowOff>
    </xdr:from>
    <xdr:to>
      <xdr:col>9</xdr:col>
      <xdr:colOff>587510</xdr:colOff>
      <xdr:row>49</xdr:row>
      <xdr:rowOff>131477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6ECEA6-8913-4332-8902-DEDE801F34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576762</xdr:colOff>
      <xdr:row>2</xdr:row>
      <xdr:rowOff>46265</xdr:rowOff>
    </xdr:from>
    <xdr:to>
      <xdr:col>20</xdr:col>
      <xdr:colOff>462462</xdr:colOff>
      <xdr:row>23</xdr:row>
      <xdr:rowOff>174704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1721E8-70E3-461F-89DE-AF9E940F9B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548998</xdr:colOff>
      <xdr:row>25</xdr:row>
      <xdr:rowOff>131399</xdr:rowOff>
    </xdr:from>
    <xdr:to>
      <xdr:col>23</xdr:col>
      <xdr:colOff>237340</xdr:colOff>
      <xdr:row>49</xdr:row>
      <xdr:rowOff>148505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4B5AA5-4DA1-47A2-9F12-4484EF592F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223763</xdr:colOff>
      <xdr:row>50</xdr:row>
      <xdr:rowOff>134148</xdr:rowOff>
    </xdr:from>
    <xdr:to>
      <xdr:col>16</xdr:col>
      <xdr:colOff>223762</xdr:colOff>
      <xdr:row>75</xdr:row>
      <xdr:rowOff>61576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9911AE4-1538-4618-A8AC-964B907513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0</xdr:rowOff>
    </xdr:from>
    <xdr:to>
      <xdr:col>12</xdr:col>
      <xdr:colOff>487680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AED539-77F9-844E-5E1C-AD51E0CB3B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0</xdr:row>
      <xdr:rowOff>160020</xdr:rowOff>
    </xdr:from>
    <xdr:to>
      <xdr:col>12</xdr:col>
      <xdr:colOff>388620</xdr:colOff>
      <xdr:row>20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C87D81-8915-B547-17A9-2CADC11419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0</xdr:row>
      <xdr:rowOff>144780</xdr:rowOff>
    </xdr:from>
    <xdr:to>
      <xdr:col>18</xdr:col>
      <xdr:colOff>502920</xdr:colOff>
      <xdr:row>25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E4CA74-FE5E-F9F7-C590-705E3163EA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495300</xdr:colOff>
      <xdr:row>22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20818D-3674-A8AF-D52E-AFBCE153BD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579120</xdr:colOff>
      <xdr:row>22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D701C7-0E02-C764-E3C3-7467D800D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itanya CB" refreshedDate="46155.780338194447" createdVersion="8" refreshedVersion="8" minRefreshableVersion="3" recordCount="11" xr:uid="{B4AAB885-9285-4051-83DF-22F04A468C59}">
  <cacheSource type="worksheet">
    <worksheetSource name="Table1"/>
  </cacheSource>
  <cacheFields count="9">
    <cacheField name="Student ID" numFmtId="0">
      <sharedItems containsSemiMixedTypes="0" containsString="0" containsNumber="1" containsInteger="1" minValue="1" maxValue="10"/>
    </cacheField>
    <cacheField name="Student Name" numFmtId="0">
      <sharedItems count="10">
        <s v="Arjun"/>
        <s v="Meera"/>
        <s v="Ravi"/>
        <s v="Sneha"/>
        <s v="Vikram"/>
        <s v="Priya"/>
        <s v="Rohit"/>
        <s v="Neha"/>
        <s v="Kiran"/>
        <s v="Anjali"/>
      </sharedItems>
    </cacheField>
    <cacheField name="Course ID" numFmtId="0">
      <sharedItems containsSemiMixedTypes="0" containsString="0" containsNumber="1" containsInteger="1" minValue="1" maxValue="6"/>
    </cacheField>
    <cacheField name="Course Name" numFmtId="0">
      <sharedItems count="6">
        <s v="Data Structures"/>
        <s v="Machine Learning"/>
        <s v="Thermodynamics"/>
        <s v="Circuit Analysis"/>
        <s v="Structural Design"/>
        <s v="Database Systems"/>
      </sharedItems>
    </cacheField>
    <cacheField name="Department" numFmtId="0">
      <sharedItems count="4">
        <s v="Computer Science"/>
        <s v="Mechanical"/>
        <s v="Electrical"/>
        <s v="Civil"/>
      </sharedItems>
    </cacheField>
    <cacheField name="Score" numFmtId="0">
      <sharedItems containsSemiMixedTypes="0" containsString="0" containsNumber="1" containsInteger="1" minValue="67" maxValue="95"/>
    </cacheField>
    <cacheField name="Grade" numFmtId="0">
      <sharedItems/>
    </cacheField>
    <cacheField name="Attendance Status" numFmtId="0">
      <sharedItems count="4">
        <s v="present"/>
        <s v="absent"/>
        <s v="excused"/>
        <s v="No Record"/>
      </sharedItems>
    </cacheField>
    <cacheField name="Amount Paid" numFmtId="0">
      <sharedItems containsSemiMixedTypes="0" containsString="0" containsNumber="1" containsInteger="1" minValue="0" maxValue="1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1"/>
    <x v="0"/>
    <n v="1"/>
    <x v="0"/>
    <x v="0"/>
    <n v="88"/>
    <s v="A"/>
    <x v="0"/>
    <n v="15000"/>
  </r>
  <r>
    <n v="1"/>
    <x v="0"/>
    <n v="2"/>
    <x v="1"/>
    <x v="0"/>
    <n v="91"/>
    <s v="A"/>
    <x v="0"/>
    <n v="15000"/>
  </r>
  <r>
    <n v="2"/>
    <x v="1"/>
    <n v="1"/>
    <x v="0"/>
    <x v="0"/>
    <n v="76"/>
    <s v="B"/>
    <x v="1"/>
    <n v="15000"/>
  </r>
  <r>
    <n v="3"/>
    <x v="2"/>
    <n v="3"/>
    <x v="2"/>
    <x v="1"/>
    <n v="69"/>
    <s v="C"/>
    <x v="0"/>
    <n v="12000"/>
  </r>
  <r>
    <n v="4"/>
    <x v="3"/>
    <n v="4"/>
    <x v="3"/>
    <x v="2"/>
    <n v="82"/>
    <s v="B"/>
    <x v="0"/>
    <n v="15000"/>
  </r>
  <r>
    <n v="5"/>
    <x v="4"/>
    <n v="3"/>
    <x v="2"/>
    <x v="1"/>
    <n v="73"/>
    <s v="B"/>
    <x v="2"/>
    <n v="0"/>
  </r>
  <r>
    <n v="6"/>
    <x v="5"/>
    <n v="2"/>
    <x v="1"/>
    <x v="0"/>
    <n v="95"/>
    <s v="A"/>
    <x v="3"/>
    <n v="0"/>
  </r>
  <r>
    <n v="7"/>
    <x v="6"/>
    <n v="4"/>
    <x v="3"/>
    <x v="2"/>
    <n v="67"/>
    <s v="C"/>
    <x v="3"/>
    <n v="0"/>
  </r>
  <r>
    <n v="8"/>
    <x v="7"/>
    <n v="5"/>
    <x v="4"/>
    <x v="3"/>
    <n v="79"/>
    <s v="B"/>
    <x v="3"/>
    <n v="0"/>
  </r>
  <r>
    <n v="9"/>
    <x v="8"/>
    <n v="5"/>
    <x v="4"/>
    <x v="3"/>
    <n v="85"/>
    <s v="A"/>
    <x v="3"/>
    <n v="0"/>
  </r>
  <r>
    <n v="10"/>
    <x v="9"/>
    <n v="6"/>
    <x v="5"/>
    <x v="0"/>
    <n v="90"/>
    <s v="A"/>
    <x v="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647AA-D3B3-46FF-872E-EAF0136FFFF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6" firstHeaderRow="1" firstDataRow="1" firstDataCol="1"/>
  <pivotFields count="9"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dataField="1"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core" fld="5" subtotal="average" baseField="4" baseItem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2889CD-2501-4AF9-B977-75B8F1B3AD0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6" firstHeaderRow="1" firstDataRow="1" firstDataCol="1"/>
  <pivotFields count="9">
    <pivotField dataField="1"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udent ID" fld="0" subtotal="count" baseField="4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FFC25-3B88-4670-A899-E05ED231784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B8" firstHeaderRow="1" firstDataRow="1" firstDataCol="1"/>
  <pivotFields count="9">
    <pivotField showAll="0"/>
    <pivotField showAll="0"/>
    <pivotField showAll="0"/>
    <pivotField axis="axisRow" showAll="0">
      <items count="7">
        <item x="3"/>
        <item x="0"/>
        <item x="5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ax of Score" fld="5" subtotal="max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5C63F7-7473-4C5B-B204-F5D38C222AD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6" firstHeaderRow="1" firstDataRow="1" firstDataCol="1"/>
  <pivotFields count="9"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core" fld="5" subtotal="average" baseField="7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916AB0-BECB-41C5-BCA9-CCB47B4B230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12" firstHeaderRow="1" firstDataRow="1" firstDataCol="1"/>
  <pivotFields count="9">
    <pivotField showAll="0"/>
    <pivotField axis="axisRow" showAll="0">
      <items count="11">
        <item x="9"/>
        <item x="0"/>
        <item x="8"/>
        <item x="1"/>
        <item x="7"/>
        <item x="5"/>
        <item x="2"/>
        <item x="6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mount Paid" fld="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AE73D4-93A1-46F3-B166-1099717A7580}" name="Table2" displayName="Table2" ref="A2:G12" totalsRowShown="0">
  <autoFilter ref="A2:G12" xr:uid="{3AAE73D4-93A1-46F3-B166-1099717A7580}"/>
  <tableColumns count="7">
    <tableColumn id="1" xr3:uid="{7C17BC24-9EE8-44BB-9E9B-FB704308ACA1}" name="Student ID"/>
    <tableColumn id="2" xr3:uid="{735DE1E3-C198-42AC-8802-2A7FE680D1BF}" name="Student Name"/>
    <tableColumn id="3" xr3:uid="{992CD4EA-D84B-447E-B3D0-24A36CF0FB3B}" name="Gender"/>
    <tableColumn id="4" xr3:uid="{7DF04108-E064-46BD-A71A-94D8FD8CC7AB}" name="Age"/>
    <tableColumn id="5" xr3:uid="{5BEE8813-329D-4A13-8E83-7C9EBB3CC355}" name="City"/>
    <tableColumn id="6" xr3:uid="{CF7300BD-19D8-40C5-B2FA-9F7EF6712DD4}" name="Department"/>
    <tableColumn id="7" xr3:uid="{2CD84B7C-F05E-4323-87B2-38E03F3545A7}" name="Admission Ye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91B091-5049-4679-8952-7C548023DAB6}" name="Table3" displayName="Table3" ref="A38:E49" totalsRowShown="0">
  <autoFilter ref="A38:E49" xr:uid="{CD91B091-5049-4679-8952-7C548023DAB6}"/>
  <tableColumns count="5">
    <tableColumn id="1" xr3:uid="{5E1A8907-3DD3-424D-9754-76EF51B6F5FB}" name="Exam ID"/>
    <tableColumn id="2" xr3:uid="{99CE99E2-7445-408A-AB78-00A47013CC24}" name="Student ID"/>
    <tableColumn id="3" xr3:uid="{46C7F787-2DA0-4F68-B942-D8409D3472C6}" name="Course ID"/>
    <tableColumn id="4" xr3:uid="{22C80722-4615-4EA6-9A1F-89522B572ADD}" name="Score"/>
    <tableColumn id="5" xr3:uid="{D435ADD9-0290-4930-AD88-F5D4B30CBED0}" name="Gra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FD4E05-8D37-48C1-9865-B58B525FC1C9}" name="Table4" displayName="Table4" ref="A15:E21" totalsRowShown="0">
  <autoFilter ref="A15:E21" xr:uid="{C5FD4E05-8D37-48C1-9865-B58B525FC1C9}"/>
  <tableColumns count="5">
    <tableColumn id="1" xr3:uid="{BD3C23DB-B85A-4AF3-B997-7A30A5D44D1C}" name="Course ID"/>
    <tableColumn id="2" xr3:uid="{D374413F-00BA-4D94-BD4E-366A02D9353C}" name="Course Name "/>
    <tableColumn id="3" xr3:uid="{3CE8E739-B49B-4416-85E5-5610D8335799}" name="Department"/>
    <tableColumn id="4" xr3:uid="{20329854-DFF7-44EC-8C30-E85E7BA4F80B}" name="Instructor ID"/>
    <tableColumn id="5" xr3:uid="{461B592A-3933-4181-93C3-E089D7E2FD1E}" name="Credi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991E79-2659-4F84-A5F8-373F67017568}" name="Table5" displayName="Table5" ref="A52:E57" totalsRowShown="0">
  <autoFilter ref="A52:E57" xr:uid="{BD991E79-2659-4F84-A5F8-373F67017568}"/>
  <tableColumns count="5">
    <tableColumn id="1" xr3:uid="{CBA51F6B-90CC-448D-BCC9-898149771674}" name="Instructor ID"/>
    <tableColumn id="2" xr3:uid="{A7A2E41D-DB35-4D40-B544-D32253611E74}" name="Instructor Name"/>
    <tableColumn id="3" xr3:uid="{F531D52D-8D90-4602-B46B-C39478BE3E09}" name="Department "/>
    <tableColumn id="4" xr3:uid="{0A9ECC4D-8784-4252-9BED-8634B5C84BBC}" name="Experience Years"/>
    <tableColumn id="5" xr3:uid="{382E2B5A-8138-4777-A9EA-12A871BD63AF}" name="Sala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03A2FCE-A4D5-4B01-BFCA-0E30582B0C05}" name="Table6" displayName="Table6" ref="A24:E35" totalsRowShown="0">
  <autoFilter ref="A24:E35" xr:uid="{E03A2FCE-A4D5-4B01-BFCA-0E30582B0C05}"/>
  <tableColumns count="5">
    <tableColumn id="1" xr3:uid="{88F87C02-313A-4BD3-9CF0-89B6BFE3E297}" name="Enrollment ID"/>
    <tableColumn id="2" xr3:uid="{F1709080-F9F8-4536-B2B1-1B09AE0EE221}" name="Student ID"/>
    <tableColumn id="3" xr3:uid="{BC9C01B6-B919-4D42-AE50-2D7B01A4A1DB}" name="Course ID"/>
    <tableColumn id="4" xr3:uid="{2BC9D726-9E59-4622-B49A-5230F414EF85}" name="Semester"/>
    <tableColumn id="5" xr3:uid="{0F19B79F-D811-4FD1-BDE5-BDDBDBDD8122}" name="Yea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AC06B5C-BEA3-4DA4-8DAE-C4E46371E868}" name="Table7" displayName="Table7" ref="A60:E64" totalsRowShown="0">
  <autoFilter ref="A60:E64" xr:uid="{AAC06B5C-BEA3-4DA4-8DAE-C4E46371E868}"/>
  <tableColumns count="5">
    <tableColumn id="1" xr3:uid="{98917FEF-ACB6-4C25-9D4D-B2E3B37E8DF0}" name="Payment ID"/>
    <tableColumn id="2" xr3:uid="{C5AE63CF-1AFB-44F5-80F0-C04B2908B984}" name="Student ID"/>
    <tableColumn id="3" xr3:uid="{B7586F70-9D06-4BA1-A7BB-A54A7FF73F0B}" name="Amount Paid"/>
    <tableColumn id="4" xr3:uid="{013FF7EA-D788-45A5-AE40-3B4A7030B80E}" name="Payment Date" dataDxfId="16"/>
    <tableColumn id="5" xr3:uid="{803E0FD7-7983-422E-A9BF-A3B0014FCD1B}" name="Payment Metho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81612EF-6BED-4D83-8ADF-FA2539C4BED9}" name="Table9" displayName="Table9" ref="A67:E73" totalsRowShown="0">
  <autoFilter ref="A67:E73" xr:uid="{681612EF-6BED-4D83-8ADF-FA2539C4BED9}"/>
  <tableColumns count="5">
    <tableColumn id="1" xr3:uid="{C0601138-D544-4A88-B65C-87E6D934A5E7}" name="Attendance ID"/>
    <tableColumn id="2" xr3:uid="{53FCC52E-0861-4BE9-93FD-AD8FBD7742ED}" name="Student ID"/>
    <tableColumn id="3" xr3:uid="{E351A400-029F-4A40-A8F2-CE7145D113D1}" name="Course ID"/>
    <tableColumn id="4" xr3:uid="{E627446F-917D-444B-BE42-1F0BE1E51D70}" name="Attendance Date" dataDxfId="15"/>
    <tableColumn id="5" xr3:uid="{201C0F55-0F72-42CF-B3C8-427BB3ECCE25}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385DF8F-7748-46E6-A063-0241E3FB9672}" name="Table916" displayName="Table916" ref="A2:E8" totalsRowShown="0">
  <autoFilter ref="A2:E8" xr:uid="{E385DF8F-7748-46E6-A063-0241E3FB9672}"/>
  <tableColumns count="5">
    <tableColumn id="1" xr3:uid="{23D325F1-75A8-48CD-9E9B-82A1D01B92E5}" name="Attendance ID"/>
    <tableColumn id="2" xr3:uid="{E1FE4EEE-A368-41E1-94C7-3E03347F363D}" name="Student ID"/>
    <tableColumn id="3" xr3:uid="{867C9FB0-D3C5-4802-A346-BD758DC8A555}" name="Course ID"/>
    <tableColumn id="4" xr3:uid="{75026005-2718-43F5-9803-A922C30946A1}" name="Attendance Date" dataDxfId="0"/>
    <tableColumn id="5" xr3:uid="{4AF9A46B-D9CA-4BA6-8BC9-9B04B85837D5}" name="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CE75E7A-E696-48B6-AC80-82C6448A7281}" name="Table29" displayName="Table29" ref="A2:G12" totalsRowShown="0">
  <autoFilter ref="A2:G12" xr:uid="{5CE75E7A-E696-48B6-AC80-82C6448A7281}"/>
  <tableColumns count="7">
    <tableColumn id="1" xr3:uid="{5F9E5476-0C00-477B-9B9E-BC01D3046C92}" name="Student ID"/>
    <tableColumn id="2" xr3:uid="{143A3228-7171-462B-8442-5B85FAA53087}" name="Student Name"/>
    <tableColumn id="3" xr3:uid="{48F5EC88-039A-48C1-B47D-F84C516D738F}" name="Gender"/>
    <tableColumn id="4" xr3:uid="{8390B5EE-DA2D-4EB9-8D80-B00458C494DC}" name="Age"/>
    <tableColumn id="5" xr3:uid="{1AEE3F32-312F-4A9B-B8F6-5331E9C32F84}" name="City"/>
    <tableColumn id="6" xr3:uid="{7CA779FE-07E8-4B23-8AC2-2614E56A2B2D}" name="Department"/>
    <tableColumn id="7" xr3:uid="{48141923-4D4E-424A-A503-652923CFD258}" name="Admission Yea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F398B54-9854-4C93-B062-485C1F593603}" name="Table411" displayName="Table411" ref="A2:E8" totalsRowShown="0">
  <autoFilter ref="A2:E8" xr:uid="{EF398B54-9854-4C93-B062-485C1F593603}"/>
  <tableColumns count="5">
    <tableColumn id="1" xr3:uid="{04727577-4F97-4843-851B-7758E1CA376B}" name="Course ID"/>
    <tableColumn id="2" xr3:uid="{427ACD6C-FC94-4D75-ACB3-CB66D4D09DA1}" name="Course Name "/>
    <tableColumn id="3" xr3:uid="{D691CAC4-2790-49E0-83A1-78E3A6EEEB64}" name="Department"/>
    <tableColumn id="4" xr3:uid="{21F7F628-E254-4967-AB61-99D4B3DD1D27}" name="Instructor ID"/>
    <tableColumn id="5" xr3:uid="{68BE4737-D394-46E2-A250-5052B0995811}" name="Credi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9C58DF6-39FB-4268-B2D7-9514FC808D12}" name="Table612" displayName="Table612" ref="A2:E13" totalsRowShown="0">
  <autoFilter ref="A2:E13" xr:uid="{A9C58DF6-39FB-4268-B2D7-9514FC808D12}"/>
  <tableColumns count="5">
    <tableColumn id="1" xr3:uid="{3569E792-C671-4D2B-9AE8-9637B2EBA228}" name="Enrollment ID"/>
    <tableColumn id="2" xr3:uid="{D18AE6D3-323C-459F-B640-293C0342B503}" name="Student ID"/>
    <tableColumn id="3" xr3:uid="{D2769D07-7ECC-44A4-A218-EBDD266FF415}" name="Course ID"/>
    <tableColumn id="4" xr3:uid="{555E1DD2-A6F4-4505-9239-AD0473D45B97}" name="Semester"/>
    <tableColumn id="5" xr3:uid="{9A305CA4-86A5-465B-93DB-96FC66F49AE0}" name="Year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04FBA48-4999-40C4-ADDD-F140713DF796}" name="Table313" displayName="Table313" ref="A2:E13" totalsRowShown="0">
  <autoFilter ref="A2:E13" xr:uid="{404FBA48-4999-40C4-ADDD-F140713DF796}"/>
  <tableColumns count="5">
    <tableColumn id="1" xr3:uid="{5171F318-3121-442D-BBD1-778166A4933E}" name="Exam ID"/>
    <tableColumn id="2" xr3:uid="{97B0FA44-F7E7-4DE0-8110-447910742F28}" name="Student ID"/>
    <tableColumn id="3" xr3:uid="{2A04A6DF-D81E-4A24-BE9B-D02512569E08}" name="Course ID"/>
    <tableColumn id="4" xr3:uid="{F3EB4E3F-14CB-454B-AE78-3A77FDBE241B}" name="Score"/>
    <tableColumn id="5" xr3:uid="{181B8110-0571-4867-9DD1-8D7611FB4DD8}" name="Grad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9AAF9CB-1002-4801-887A-5CE5BB4B157E}" name="Table514" displayName="Table514" ref="A2:E7" totalsRowShown="0">
  <autoFilter ref="A2:E7" xr:uid="{59AAF9CB-1002-4801-887A-5CE5BB4B157E}"/>
  <tableColumns count="5">
    <tableColumn id="1" xr3:uid="{F3C9C425-59CF-49C7-8725-AB5CAAFECC54}" name="Instructor ID"/>
    <tableColumn id="2" xr3:uid="{52E2390D-B304-426E-82BA-BD5801B3A338}" name="Instructor Name"/>
    <tableColumn id="3" xr3:uid="{58CDEADE-1EDD-465E-AC1E-B29C7B417602}" name="Department "/>
    <tableColumn id="4" xr3:uid="{1208A118-FA4F-46E6-8C7C-E77DD9120591}" name="Experience Years"/>
    <tableColumn id="5" xr3:uid="{CA1C1C86-7BEE-4B38-BC88-AD7E5337D078}" name="Salary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59AFA11-40CB-4C39-8CB6-DCD028ECF737}" name="Table715" displayName="Table715" ref="A2:E6" totalsRowShown="0">
  <autoFilter ref="A2:E6" xr:uid="{059AFA11-40CB-4C39-8CB6-DCD028ECF737}"/>
  <tableColumns count="5">
    <tableColumn id="1" xr3:uid="{92E97B9F-7113-4AFC-802F-EACBC7F7F56B}" name="Payment ID"/>
    <tableColumn id="2" xr3:uid="{7857C8AD-BF0E-4959-81AC-DEEE3C96DEF5}" name="Student ID"/>
    <tableColumn id="3" xr3:uid="{DFBA7887-F1CE-4823-BBF1-C95103393E2C}" name="Amount Paid"/>
    <tableColumn id="4" xr3:uid="{C378834E-EE75-4F7F-9A3C-8A4B08B3B88C}" name="Payment Date" dataDxfId="1"/>
    <tableColumn id="5" xr3:uid="{759955CB-36CD-4813-AEA3-ED86CE3168A1}" name="Payment Method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33BC33-127D-45A9-A8E3-D785C9C4AB79}" name="Table1" displayName="Table1" ref="F1:N12" totalsRowShown="0" headerRowDxfId="14" headerRowBorderDxfId="13" tableBorderDxfId="12" totalsRowBorderDxfId="11">
  <autoFilter ref="F1:N12" xr:uid="{7233BC33-127D-45A9-A8E3-D785C9C4AB79}"/>
  <tableColumns count="9">
    <tableColumn id="1" xr3:uid="{CA1DA264-CB7D-4743-9534-D86A1BB524A0}" name="Student ID" dataDxfId="10">
      <calculatedColumnFormula>_xlfn.XLOOKUP(Original!B39,Table3[Student ID],Table3[Student ID])</calculatedColumnFormula>
    </tableColumn>
    <tableColumn id="2" xr3:uid="{B30EC88F-427C-4CAC-B6C5-15E0B314A6D3}" name="Student Name" dataDxfId="9"/>
    <tableColumn id="3" xr3:uid="{C2F0E4AC-D828-4841-BA15-0E8D3BE5B533}" name="Course ID" dataDxfId="8">
      <calculatedColumnFormula>_xlfn.XLOOKUP(Original!C39,Table3[Course ID],Table3[Course ID])</calculatedColumnFormula>
    </tableColumn>
    <tableColumn id="4" xr3:uid="{F61CE189-8B10-4B44-9038-9E0C0B897046}" name="Course Name" dataDxfId="7">
      <calculatedColumnFormula>_xlfn.XLOOKUP(Table1[[#This Row],[Course ID]],Table4[Course ID],Table4[[Course Name ]])</calculatedColumnFormula>
    </tableColumn>
    <tableColumn id="5" xr3:uid="{25ED224F-CAC6-4354-962D-E3AE86D302EA}" name="Department" dataDxfId="6">
      <calculatedColumnFormula>_xlfn.XLOOKUP(Table1[[#This Row],[Course ID]],Table4[Course ID],Table4[Department])</calculatedColumnFormula>
    </tableColumn>
    <tableColumn id="6" xr3:uid="{A3F8F8F0-CC4E-499C-8BEB-807EACAC4455}" name="Score" dataDxfId="5">
      <calculatedColumnFormula>_xlfn.XLOOKUP(Original!D39,Table3[Score],Table3[Score])</calculatedColumnFormula>
    </tableColumn>
    <tableColumn id="7" xr3:uid="{F3958043-03F3-460B-A7F5-798AE5CC6B4C}" name="Grade" dataDxfId="4">
      <calculatedColumnFormula>_xlfn.XLOOKUP(Original!E39,Table3[Grade],Table3[Grade])</calculatedColumnFormula>
    </tableColumn>
    <tableColumn id="8" xr3:uid="{B1ECC486-0D89-48B4-BD3F-367742A6B940}" name="Attendance Status" dataDxfId="3">
      <calculatedColumnFormula array="1">_xlfn.XLOOKUP(Table1[[#This Row],[Student ID]]&amp;Table1[[#This Row],[Course ID]],Table9[Student ID]&amp;Table9[Course ID],Table9[Status],"No Record")</calculatedColumnFormula>
    </tableColumn>
    <tableColumn id="10" xr3:uid="{334F779B-BD17-4BF9-AAE8-9741F0FEE201}" name="Amount Paid" dataDxfId="2">
      <calculatedColumnFormula>_xlfn.XLOOKUP(Table1[[#This Row],[Student ID]],Table7[Student ID],Table7[Amount Paid],0)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A542-2A41-45BB-80ED-4CE817C1E193}">
  <dimension ref="A1:G73"/>
  <sheetViews>
    <sheetView workbookViewId="0">
      <selection activeCell="G14" sqref="G14"/>
    </sheetView>
  </sheetViews>
  <sheetFormatPr defaultRowHeight="14.4" x14ac:dyDescent="0.3"/>
  <cols>
    <col min="1" max="1" width="14.88671875" bestFit="1" customWidth="1"/>
    <col min="2" max="2" width="16.77734375" bestFit="1" customWidth="1"/>
    <col min="3" max="3" width="15.88671875" bestFit="1" customWidth="1"/>
    <col min="4" max="4" width="17.44140625" bestFit="1" customWidth="1"/>
    <col min="5" max="5" width="17.21875" bestFit="1" customWidth="1"/>
    <col min="6" max="6" width="15.88671875" bestFit="1" customWidth="1"/>
    <col min="7" max="7" width="16.109375" bestFit="1" customWidth="1"/>
    <col min="8" max="8" width="15.6640625" customWidth="1"/>
    <col min="9" max="9" width="17" customWidth="1"/>
    <col min="11" max="11" width="14.5546875" customWidth="1"/>
    <col min="12" max="12" width="16.33203125" customWidth="1"/>
    <col min="13" max="13" width="15.88671875" bestFit="1" customWidth="1"/>
    <col min="14" max="14" width="17" customWidth="1"/>
    <col min="15" max="15" width="16.77734375" customWidth="1"/>
  </cols>
  <sheetData>
    <row r="1" spans="1:7" x14ac:dyDescent="0.3">
      <c r="A1" s="2" t="s">
        <v>73</v>
      </c>
    </row>
    <row r="2" spans="1:7" x14ac:dyDescent="0.3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</row>
    <row r="3" spans="1:7" x14ac:dyDescent="0.3">
      <c r="A3">
        <v>1</v>
      </c>
      <c r="B3" t="s">
        <v>0</v>
      </c>
      <c r="C3" t="s">
        <v>1</v>
      </c>
      <c r="D3">
        <v>20</v>
      </c>
      <c r="E3" t="s">
        <v>2</v>
      </c>
      <c r="F3" t="s">
        <v>3</v>
      </c>
      <c r="G3">
        <v>2022</v>
      </c>
    </row>
    <row r="4" spans="1:7" x14ac:dyDescent="0.3">
      <c r="A4">
        <v>2</v>
      </c>
      <c r="B4" t="s">
        <v>4</v>
      </c>
      <c r="C4" t="s">
        <v>5</v>
      </c>
      <c r="D4">
        <v>21</v>
      </c>
      <c r="E4" t="s">
        <v>6</v>
      </c>
      <c r="F4" t="s">
        <v>3</v>
      </c>
      <c r="G4">
        <v>2021</v>
      </c>
    </row>
    <row r="5" spans="1:7" x14ac:dyDescent="0.3">
      <c r="A5">
        <v>3</v>
      </c>
      <c r="B5" t="s">
        <v>7</v>
      </c>
      <c r="C5" t="s">
        <v>1</v>
      </c>
      <c r="D5">
        <v>22</v>
      </c>
      <c r="E5" t="s">
        <v>8</v>
      </c>
      <c r="F5" t="s">
        <v>9</v>
      </c>
      <c r="G5">
        <v>2021</v>
      </c>
    </row>
    <row r="6" spans="1:7" x14ac:dyDescent="0.3">
      <c r="A6">
        <v>4</v>
      </c>
      <c r="B6" t="s">
        <v>10</v>
      </c>
      <c r="C6" t="s">
        <v>5</v>
      </c>
      <c r="D6">
        <v>20</v>
      </c>
      <c r="E6" t="s">
        <v>11</v>
      </c>
      <c r="F6" t="s">
        <v>12</v>
      </c>
      <c r="G6">
        <v>2022</v>
      </c>
    </row>
    <row r="7" spans="1:7" x14ac:dyDescent="0.3">
      <c r="A7">
        <v>5</v>
      </c>
      <c r="B7" t="s">
        <v>13</v>
      </c>
      <c r="C7" t="s">
        <v>1</v>
      </c>
      <c r="D7">
        <v>23</v>
      </c>
      <c r="E7" t="s">
        <v>14</v>
      </c>
      <c r="F7" t="s">
        <v>9</v>
      </c>
      <c r="G7">
        <v>2020</v>
      </c>
    </row>
    <row r="8" spans="1:7" x14ac:dyDescent="0.3">
      <c r="A8">
        <v>6</v>
      </c>
      <c r="B8" t="s">
        <v>15</v>
      </c>
      <c r="C8" t="s">
        <v>5</v>
      </c>
      <c r="D8">
        <v>21</v>
      </c>
      <c r="E8" t="s">
        <v>2</v>
      </c>
      <c r="F8" t="s">
        <v>3</v>
      </c>
      <c r="G8">
        <v>2022</v>
      </c>
    </row>
    <row r="9" spans="1:7" x14ac:dyDescent="0.3">
      <c r="A9">
        <v>7</v>
      </c>
      <c r="B9" t="s">
        <v>16</v>
      </c>
      <c r="C9" t="s">
        <v>1</v>
      </c>
      <c r="D9">
        <v>22</v>
      </c>
      <c r="E9" t="s">
        <v>17</v>
      </c>
      <c r="F9" t="s">
        <v>12</v>
      </c>
      <c r="G9">
        <v>2021</v>
      </c>
    </row>
    <row r="10" spans="1:7" x14ac:dyDescent="0.3">
      <c r="A10">
        <v>8</v>
      </c>
      <c r="B10" t="s">
        <v>18</v>
      </c>
      <c r="C10" t="s">
        <v>5</v>
      </c>
      <c r="D10">
        <v>20</v>
      </c>
      <c r="E10" t="s">
        <v>6</v>
      </c>
      <c r="F10" t="s">
        <v>19</v>
      </c>
      <c r="G10">
        <v>2023</v>
      </c>
    </row>
    <row r="11" spans="1:7" x14ac:dyDescent="0.3">
      <c r="A11">
        <v>9</v>
      </c>
      <c r="B11" t="s">
        <v>20</v>
      </c>
      <c r="C11" t="s">
        <v>1</v>
      </c>
      <c r="D11">
        <v>24</v>
      </c>
      <c r="E11" t="s">
        <v>8</v>
      </c>
      <c r="F11" t="s">
        <v>19</v>
      </c>
      <c r="G11">
        <v>2020</v>
      </c>
    </row>
    <row r="12" spans="1:7" x14ac:dyDescent="0.3">
      <c r="A12">
        <v>10</v>
      </c>
      <c r="B12" t="s">
        <v>21</v>
      </c>
      <c r="C12" t="s">
        <v>5</v>
      </c>
      <c r="D12">
        <v>21</v>
      </c>
      <c r="E12" t="s">
        <v>11</v>
      </c>
      <c r="F12" t="s">
        <v>3</v>
      </c>
      <c r="G12">
        <v>2021</v>
      </c>
    </row>
    <row r="14" spans="1:7" x14ac:dyDescent="0.3">
      <c r="A14" s="2" t="s">
        <v>74</v>
      </c>
    </row>
    <row r="15" spans="1:7" x14ac:dyDescent="0.3">
      <c r="A15" t="s">
        <v>53</v>
      </c>
      <c r="B15" t="s">
        <v>56</v>
      </c>
      <c r="C15" t="s">
        <v>50</v>
      </c>
      <c r="D15" t="s">
        <v>57</v>
      </c>
      <c r="E15" t="s">
        <v>58</v>
      </c>
    </row>
    <row r="16" spans="1:7" x14ac:dyDescent="0.3">
      <c r="A16">
        <v>1</v>
      </c>
      <c r="B16" t="s">
        <v>22</v>
      </c>
      <c r="C16" t="s">
        <v>3</v>
      </c>
      <c r="D16">
        <v>1</v>
      </c>
      <c r="E16">
        <v>4</v>
      </c>
    </row>
    <row r="17" spans="1:5" x14ac:dyDescent="0.3">
      <c r="A17">
        <v>2</v>
      </c>
      <c r="B17" t="s">
        <v>23</v>
      </c>
      <c r="C17" t="s">
        <v>3</v>
      </c>
      <c r="D17">
        <v>5</v>
      </c>
      <c r="E17">
        <v>4</v>
      </c>
    </row>
    <row r="18" spans="1:5" x14ac:dyDescent="0.3">
      <c r="A18">
        <v>3</v>
      </c>
      <c r="B18" t="s">
        <v>24</v>
      </c>
      <c r="C18" t="s">
        <v>9</v>
      </c>
      <c r="D18">
        <v>3</v>
      </c>
      <c r="E18">
        <v>3</v>
      </c>
    </row>
    <row r="19" spans="1:5" x14ac:dyDescent="0.3">
      <c r="A19">
        <v>4</v>
      </c>
      <c r="B19" t="s">
        <v>25</v>
      </c>
      <c r="C19" t="s">
        <v>12</v>
      </c>
      <c r="D19">
        <v>2</v>
      </c>
      <c r="E19">
        <v>3</v>
      </c>
    </row>
    <row r="20" spans="1:5" x14ac:dyDescent="0.3">
      <c r="A20">
        <v>5</v>
      </c>
      <c r="B20" t="s">
        <v>26</v>
      </c>
      <c r="C20" t="s">
        <v>19</v>
      </c>
      <c r="D20">
        <v>4</v>
      </c>
      <c r="E20">
        <v>3</v>
      </c>
    </row>
    <row r="21" spans="1:5" x14ac:dyDescent="0.3">
      <c r="A21">
        <v>6</v>
      </c>
      <c r="B21" t="s">
        <v>27</v>
      </c>
      <c r="C21" t="s">
        <v>3</v>
      </c>
      <c r="D21">
        <v>1</v>
      </c>
      <c r="E21">
        <v>4</v>
      </c>
    </row>
    <row r="23" spans="1:5" x14ac:dyDescent="0.3">
      <c r="A23" s="2" t="s">
        <v>75</v>
      </c>
    </row>
    <row r="24" spans="1:5" x14ac:dyDescent="0.3">
      <c r="A24" t="s">
        <v>63</v>
      </c>
      <c r="B24" t="s">
        <v>45</v>
      </c>
      <c r="C24" t="s">
        <v>53</v>
      </c>
      <c r="D24" t="s">
        <v>64</v>
      </c>
      <c r="E24" t="s">
        <v>65</v>
      </c>
    </row>
    <row r="25" spans="1:5" x14ac:dyDescent="0.3">
      <c r="A25">
        <v>1</v>
      </c>
      <c r="B25">
        <v>1</v>
      </c>
      <c r="C25">
        <v>1</v>
      </c>
      <c r="D25" t="s">
        <v>28</v>
      </c>
      <c r="E25">
        <v>2023</v>
      </c>
    </row>
    <row r="26" spans="1:5" x14ac:dyDescent="0.3">
      <c r="A26">
        <v>2</v>
      </c>
      <c r="B26">
        <v>1</v>
      </c>
      <c r="C26">
        <v>2</v>
      </c>
      <c r="D26" t="s">
        <v>28</v>
      </c>
      <c r="E26">
        <v>2023</v>
      </c>
    </row>
    <row r="27" spans="1:5" x14ac:dyDescent="0.3">
      <c r="A27">
        <v>3</v>
      </c>
      <c r="B27">
        <v>2</v>
      </c>
      <c r="C27">
        <v>1</v>
      </c>
      <c r="D27" t="s">
        <v>29</v>
      </c>
      <c r="E27">
        <v>2023</v>
      </c>
    </row>
    <row r="28" spans="1:5" x14ac:dyDescent="0.3">
      <c r="A28">
        <v>4</v>
      </c>
      <c r="B28">
        <v>3</v>
      </c>
      <c r="C28">
        <v>3</v>
      </c>
      <c r="D28" t="s">
        <v>28</v>
      </c>
      <c r="E28">
        <v>2023</v>
      </c>
    </row>
    <row r="29" spans="1:5" x14ac:dyDescent="0.3">
      <c r="A29">
        <v>5</v>
      </c>
      <c r="B29">
        <v>4</v>
      </c>
      <c r="C29">
        <v>4</v>
      </c>
      <c r="D29" t="s">
        <v>28</v>
      </c>
      <c r="E29">
        <v>2023</v>
      </c>
    </row>
    <row r="30" spans="1:5" x14ac:dyDescent="0.3">
      <c r="A30">
        <v>6</v>
      </c>
      <c r="B30">
        <v>5</v>
      </c>
      <c r="C30">
        <v>3</v>
      </c>
      <c r="D30" t="s">
        <v>29</v>
      </c>
      <c r="E30">
        <v>2023</v>
      </c>
    </row>
    <row r="31" spans="1:5" x14ac:dyDescent="0.3">
      <c r="A31">
        <v>7</v>
      </c>
      <c r="B31">
        <v>6</v>
      </c>
      <c r="C31">
        <v>2</v>
      </c>
      <c r="D31" t="s">
        <v>28</v>
      </c>
      <c r="E31">
        <v>2023</v>
      </c>
    </row>
    <row r="32" spans="1:5" x14ac:dyDescent="0.3">
      <c r="A32">
        <v>8</v>
      </c>
      <c r="B32">
        <v>7</v>
      </c>
      <c r="C32">
        <v>4</v>
      </c>
      <c r="D32" t="s">
        <v>29</v>
      </c>
      <c r="E32">
        <v>2023</v>
      </c>
    </row>
    <row r="33" spans="1:5" x14ac:dyDescent="0.3">
      <c r="A33">
        <v>9</v>
      </c>
      <c r="B33">
        <v>8</v>
      </c>
      <c r="C33">
        <v>5</v>
      </c>
      <c r="D33" t="s">
        <v>28</v>
      </c>
      <c r="E33">
        <v>2023</v>
      </c>
    </row>
    <row r="34" spans="1:5" x14ac:dyDescent="0.3">
      <c r="A34">
        <v>10</v>
      </c>
      <c r="B34">
        <v>9</v>
      </c>
      <c r="C34">
        <v>5</v>
      </c>
      <c r="D34" t="s">
        <v>29</v>
      </c>
      <c r="E34">
        <v>2023</v>
      </c>
    </row>
    <row r="35" spans="1:5" x14ac:dyDescent="0.3">
      <c r="A35">
        <v>11</v>
      </c>
      <c r="B35">
        <v>10</v>
      </c>
      <c r="C35">
        <v>6</v>
      </c>
      <c r="D35" t="s">
        <v>28</v>
      </c>
      <c r="E35">
        <v>2023</v>
      </c>
    </row>
    <row r="37" spans="1:5" x14ac:dyDescent="0.3">
      <c r="A37" s="2" t="s">
        <v>76</v>
      </c>
    </row>
    <row r="38" spans="1:5" x14ac:dyDescent="0.3">
      <c r="A38" t="s">
        <v>52</v>
      </c>
      <c r="B38" t="s">
        <v>45</v>
      </c>
      <c r="C38" t="s">
        <v>53</v>
      </c>
      <c r="D38" t="s">
        <v>54</v>
      </c>
      <c r="E38" t="s">
        <v>55</v>
      </c>
    </row>
    <row r="39" spans="1:5" x14ac:dyDescent="0.3">
      <c r="A39">
        <v>1</v>
      </c>
      <c r="B39">
        <v>1</v>
      </c>
      <c r="C39">
        <v>1</v>
      </c>
      <c r="D39">
        <v>88</v>
      </c>
      <c r="E39" t="s">
        <v>30</v>
      </c>
    </row>
    <row r="40" spans="1:5" x14ac:dyDescent="0.3">
      <c r="A40">
        <v>2</v>
      </c>
      <c r="B40">
        <v>1</v>
      </c>
      <c r="C40">
        <v>2</v>
      </c>
      <c r="D40">
        <v>91</v>
      </c>
      <c r="E40" t="s">
        <v>30</v>
      </c>
    </row>
    <row r="41" spans="1:5" x14ac:dyDescent="0.3">
      <c r="A41">
        <v>3</v>
      </c>
      <c r="B41">
        <v>2</v>
      </c>
      <c r="C41">
        <v>1</v>
      </c>
      <c r="D41">
        <v>76</v>
      </c>
      <c r="E41" t="s">
        <v>31</v>
      </c>
    </row>
    <row r="42" spans="1:5" x14ac:dyDescent="0.3">
      <c r="A42">
        <v>4</v>
      </c>
      <c r="B42">
        <v>3</v>
      </c>
      <c r="C42">
        <v>3</v>
      </c>
      <c r="D42">
        <v>69</v>
      </c>
      <c r="E42" t="s">
        <v>32</v>
      </c>
    </row>
    <row r="43" spans="1:5" x14ac:dyDescent="0.3">
      <c r="A43">
        <v>5</v>
      </c>
      <c r="B43">
        <v>4</v>
      </c>
      <c r="C43">
        <v>4</v>
      </c>
      <c r="D43">
        <v>82</v>
      </c>
      <c r="E43" t="s">
        <v>31</v>
      </c>
    </row>
    <row r="44" spans="1:5" x14ac:dyDescent="0.3">
      <c r="A44">
        <v>6</v>
      </c>
      <c r="B44">
        <v>5</v>
      </c>
      <c r="C44">
        <v>3</v>
      </c>
      <c r="D44">
        <v>73</v>
      </c>
      <c r="E44" t="s">
        <v>31</v>
      </c>
    </row>
    <row r="45" spans="1:5" x14ac:dyDescent="0.3">
      <c r="A45">
        <v>7</v>
      </c>
      <c r="B45">
        <v>6</v>
      </c>
      <c r="C45">
        <v>2</v>
      </c>
      <c r="D45">
        <v>95</v>
      </c>
      <c r="E45" t="s">
        <v>30</v>
      </c>
    </row>
    <row r="46" spans="1:5" x14ac:dyDescent="0.3">
      <c r="A46">
        <v>8</v>
      </c>
      <c r="B46">
        <v>7</v>
      </c>
      <c r="C46">
        <v>4</v>
      </c>
      <c r="D46">
        <v>67</v>
      </c>
      <c r="E46" t="s">
        <v>32</v>
      </c>
    </row>
    <row r="47" spans="1:5" x14ac:dyDescent="0.3">
      <c r="A47">
        <v>9</v>
      </c>
      <c r="B47">
        <v>8</v>
      </c>
      <c r="C47">
        <v>5</v>
      </c>
      <c r="D47">
        <v>79</v>
      </c>
      <c r="E47" t="s">
        <v>31</v>
      </c>
    </row>
    <row r="48" spans="1:5" x14ac:dyDescent="0.3">
      <c r="A48">
        <v>10</v>
      </c>
      <c r="B48">
        <v>9</v>
      </c>
      <c r="C48">
        <v>5</v>
      </c>
      <c r="D48">
        <v>85</v>
      </c>
      <c r="E48" t="s">
        <v>30</v>
      </c>
    </row>
    <row r="49" spans="1:5" x14ac:dyDescent="0.3">
      <c r="A49">
        <v>11</v>
      </c>
      <c r="B49">
        <v>10</v>
      </c>
      <c r="C49">
        <v>6</v>
      </c>
      <c r="D49">
        <v>90</v>
      </c>
      <c r="E49" t="s">
        <v>30</v>
      </c>
    </row>
    <row r="51" spans="1:5" x14ac:dyDescent="0.3">
      <c r="A51" s="2" t="s">
        <v>77</v>
      </c>
    </row>
    <row r="52" spans="1:5" x14ac:dyDescent="0.3">
      <c r="A52" t="s">
        <v>57</v>
      </c>
      <c r="B52" t="s">
        <v>59</v>
      </c>
      <c r="C52" t="s">
        <v>60</v>
      </c>
      <c r="D52" t="s">
        <v>61</v>
      </c>
      <c r="E52" t="s">
        <v>62</v>
      </c>
    </row>
    <row r="53" spans="1:5" x14ac:dyDescent="0.3">
      <c r="A53">
        <v>1</v>
      </c>
      <c r="B53" t="s">
        <v>33</v>
      </c>
      <c r="C53" t="s">
        <v>3</v>
      </c>
      <c r="D53">
        <v>15</v>
      </c>
      <c r="E53">
        <v>120000</v>
      </c>
    </row>
    <row r="54" spans="1:5" x14ac:dyDescent="0.3">
      <c r="A54">
        <v>2</v>
      </c>
      <c r="B54" t="s">
        <v>34</v>
      </c>
      <c r="C54" t="s">
        <v>12</v>
      </c>
      <c r="D54">
        <v>12</v>
      </c>
      <c r="E54">
        <v>110000</v>
      </c>
    </row>
    <row r="55" spans="1:5" x14ac:dyDescent="0.3">
      <c r="A55">
        <v>3</v>
      </c>
      <c r="B55" t="s">
        <v>35</v>
      </c>
      <c r="C55" t="s">
        <v>9</v>
      </c>
      <c r="D55">
        <v>10</v>
      </c>
      <c r="E55">
        <v>100000</v>
      </c>
    </row>
    <row r="56" spans="1:5" x14ac:dyDescent="0.3">
      <c r="A56">
        <v>4</v>
      </c>
      <c r="B56" t="s">
        <v>36</v>
      </c>
      <c r="C56" t="s">
        <v>19</v>
      </c>
      <c r="D56">
        <v>8</v>
      </c>
      <c r="E56">
        <v>90000</v>
      </c>
    </row>
    <row r="57" spans="1:5" x14ac:dyDescent="0.3">
      <c r="A57">
        <v>5</v>
      </c>
      <c r="B57" t="s">
        <v>37</v>
      </c>
      <c r="C57" t="s">
        <v>3</v>
      </c>
      <c r="D57">
        <v>20</v>
      </c>
      <c r="E57">
        <v>150000</v>
      </c>
    </row>
    <row r="59" spans="1:5" x14ac:dyDescent="0.3">
      <c r="A59" s="2" t="s">
        <v>78</v>
      </c>
    </row>
    <row r="60" spans="1:5" x14ac:dyDescent="0.3">
      <c r="A60" t="s">
        <v>66</v>
      </c>
      <c r="B60" t="s">
        <v>45</v>
      </c>
      <c r="C60" t="s">
        <v>67</v>
      </c>
      <c r="D60" t="s">
        <v>68</v>
      </c>
      <c r="E60" t="s">
        <v>69</v>
      </c>
    </row>
    <row r="61" spans="1:5" x14ac:dyDescent="0.3">
      <c r="A61">
        <v>1</v>
      </c>
      <c r="B61">
        <v>1</v>
      </c>
      <c r="C61">
        <v>15000</v>
      </c>
      <c r="D61" s="1">
        <v>46122</v>
      </c>
      <c r="E61" t="s">
        <v>38</v>
      </c>
    </row>
    <row r="62" spans="1:5" x14ac:dyDescent="0.3">
      <c r="A62">
        <v>2</v>
      </c>
      <c r="B62">
        <v>2</v>
      </c>
      <c r="C62">
        <v>15000</v>
      </c>
      <c r="D62" s="1">
        <v>46123</v>
      </c>
      <c r="E62" t="s">
        <v>39</v>
      </c>
    </row>
    <row r="63" spans="1:5" x14ac:dyDescent="0.3">
      <c r="A63">
        <v>3</v>
      </c>
      <c r="B63">
        <v>3</v>
      </c>
      <c r="C63">
        <v>12000</v>
      </c>
      <c r="D63" s="1">
        <v>46124</v>
      </c>
      <c r="E63" t="s">
        <v>40</v>
      </c>
    </row>
    <row r="64" spans="1:5" x14ac:dyDescent="0.3">
      <c r="A64">
        <v>4</v>
      </c>
      <c r="B64">
        <v>4</v>
      </c>
      <c r="C64">
        <v>15000</v>
      </c>
      <c r="D64" s="1">
        <v>46127</v>
      </c>
      <c r="E64" t="s">
        <v>41</v>
      </c>
    </row>
    <row r="66" spans="1:5" x14ac:dyDescent="0.3">
      <c r="A66" s="2" t="s">
        <v>79</v>
      </c>
    </row>
    <row r="67" spans="1:5" x14ac:dyDescent="0.3">
      <c r="A67" t="s">
        <v>70</v>
      </c>
      <c r="B67" t="s">
        <v>45</v>
      </c>
      <c r="C67" t="s">
        <v>53</v>
      </c>
      <c r="D67" t="s">
        <v>71</v>
      </c>
      <c r="E67" t="s">
        <v>72</v>
      </c>
    </row>
    <row r="68" spans="1:5" x14ac:dyDescent="0.3">
      <c r="A68">
        <v>1</v>
      </c>
      <c r="B68">
        <v>1</v>
      </c>
      <c r="C68">
        <v>1</v>
      </c>
      <c r="D68" s="1">
        <v>46143</v>
      </c>
      <c r="E68" t="s">
        <v>42</v>
      </c>
    </row>
    <row r="69" spans="1:5" x14ac:dyDescent="0.3">
      <c r="A69">
        <v>2</v>
      </c>
      <c r="B69">
        <v>1</v>
      </c>
      <c r="C69">
        <v>2</v>
      </c>
      <c r="D69" s="1">
        <v>46143</v>
      </c>
      <c r="E69" t="s">
        <v>42</v>
      </c>
    </row>
    <row r="70" spans="1:5" x14ac:dyDescent="0.3">
      <c r="A70">
        <v>3</v>
      </c>
      <c r="B70">
        <v>2</v>
      </c>
      <c r="C70">
        <v>1</v>
      </c>
      <c r="D70" s="1">
        <v>46143</v>
      </c>
      <c r="E70" t="s">
        <v>43</v>
      </c>
    </row>
    <row r="71" spans="1:5" x14ac:dyDescent="0.3">
      <c r="A71">
        <v>4</v>
      </c>
      <c r="B71">
        <v>3</v>
      </c>
      <c r="C71">
        <v>3</v>
      </c>
      <c r="D71" s="1">
        <v>46144</v>
      </c>
      <c r="E71" t="s">
        <v>42</v>
      </c>
    </row>
    <row r="72" spans="1:5" x14ac:dyDescent="0.3">
      <c r="A72">
        <v>5</v>
      </c>
      <c r="B72">
        <v>4</v>
      </c>
      <c r="C72">
        <v>4</v>
      </c>
      <c r="D72" s="1">
        <v>46144</v>
      </c>
      <c r="E72" t="s">
        <v>42</v>
      </c>
    </row>
    <row r="73" spans="1:5" x14ac:dyDescent="0.3">
      <c r="A73">
        <v>6</v>
      </c>
      <c r="B73">
        <v>5</v>
      </c>
      <c r="C73">
        <v>3</v>
      </c>
      <c r="D73" s="1">
        <v>46144</v>
      </c>
      <c r="E73" t="s">
        <v>44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8281-A825-4075-A331-4FE6DF62FF51}">
  <dimension ref="A1:E8"/>
  <sheetViews>
    <sheetView workbookViewId="0">
      <selection activeCell="N14" sqref="N14"/>
    </sheetView>
  </sheetViews>
  <sheetFormatPr defaultRowHeight="14.4" x14ac:dyDescent="0.3"/>
  <cols>
    <col min="1" max="1" width="14.88671875" bestFit="1" customWidth="1"/>
    <col min="2" max="2" width="11.88671875" bestFit="1" customWidth="1"/>
    <col min="3" max="3" width="11.109375" bestFit="1" customWidth="1"/>
    <col min="4" max="4" width="17.109375" bestFit="1" customWidth="1"/>
    <col min="5" max="5" width="8.5546875" bestFit="1" customWidth="1"/>
  </cols>
  <sheetData>
    <row r="1" spans="1:5" x14ac:dyDescent="0.3">
      <c r="A1" s="2" t="s">
        <v>79</v>
      </c>
    </row>
    <row r="2" spans="1:5" x14ac:dyDescent="0.3">
      <c r="A2" t="s">
        <v>70</v>
      </c>
      <c r="B2" t="s">
        <v>45</v>
      </c>
      <c r="C2" t="s">
        <v>53</v>
      </c>
      <c r="D2" t="s">
        <v>71</v>
      </c>
      <c r="E2" t="s">
        <v>72</v>
      </c>
    </row>
    <row r="3" spans="1:5" x14ac:dyDescent="0.3">
      <c r="A3">
        <v>1</v>
      </c>
      <c r="B3">
        <v>1</v>
      </c>
      <c r="C3">
        <v>1</v>
      </c>
      <c r="D3" s="1">
        <v>46143</v>
      </c>
      <c r="E3" t="s">
        <v>42</v>
      </c>
    </row>
    <row r="4" spans="1:5" x14ac:dyDescent="0.3">
      <c r="A4">
        <v>2</v>
      </c>
      <c r="B4">
        <v>1</v>
      </c>
      <c r="C4">
        <v>2</v>
      </c>
      <c r="D4" s="1">
        <v>46143</v>
      </c>
      <c r="E4" t="s">
        <v>42</v>
      </c>
    </row>
    <row r="5" spans="1:5" x14ac:dyDescent="0.3">
      <c r="A5">
        <v>3</v>
      </c>
      <c r="B5">
        <v>2</v>
      </c>
      <c r="C5">
        <v>1</v>
      </c>
      <c r="D5" s="1">
        <v>46143</v>
      </c>
      <c r="E5" t="s">
        <v>43</v>
      </c>
    </row>
    <row r="6" spans="1:5" x14ac:dyDescent="0.3">
      <c r="A6">
        <v>4</v>
      </c>
      <c r="B6">
        <v>3</v>
      </c>
      <c r="C6">
        <v>3</v>
      </c>
      <c r="D6" s="1">
        <v>46144</v>
      </c>
      <c r="E6" t="s">
        <v>42</v>
      </c>
    </row>
    <row r="7" spans="1:5" x14ac:dyDescent="0.3">
      <c r="A7">
        <v>5</v>
      </c>
      <c r="B7">
        <v>4</v>
      </c>
      <c r="C7">
        <v>4</v>
      </c>
      <c r="D7" s="1">
        <v>46144</v>
      </c>
      <c r="E7" t="s">
        <v>42</v>
      </c>
    </row>
    <row r="8" spans="1:5" x14ac:dyDescent="0.3">
      <c r="A8">
        <v>6</v>
      </c>
      <c r="B8">
        <v>5</v>
      </c>
      <c r="C8">
        <v>3</v>
      </c>
      <c r="D8" s="1">
        <v>46144</v>
      </c>
      <c r="E8" t="s">
        <v>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164AD-247C-469C-A08E-1635D27D2CC1}">
  <dimension ref="A1:G12"/>
  <sheetViews>
    <sheetView workbookViewId="0">
      <selection activeCell="E13" sqref="E13"/>
    </sheetView>
  </sheetViews>
  <sheetFormatPr defaultRowHeight="14.4" x14ac:dyDescent="0.3"/>
  <cols>
    <col min="1" max="1" width="11.88671875" bestFit="1" customWidth="1"/>
    <col min="2" max="2" width="15.109375" bestFit="1" customWidth="1"/>
    <col min="3" max="3" width="9.33203125" bestFit="1" customWidth="1"/>
    <col min="4" max="4" width="6.21875" bestFit="1" customWidth="1"/>
    <col min="5" max="5" width="9.77734375" bestFit="1" customWidth="1"/>
    <col min="6" max="6" width="15.88671875" bestFit="1" customWidth="1"/>
    <col min="7" max="7" width="16.109375" bestFit="1" customWidth="1"/>
  </cols>
  <sheetData>
    <row r="1" spans="1:7" x14ac:dyDescent="0.3">
      <c r="A1" s="2" t="s">
        <v>73</v>
      </c>
    </row>
    <row r="2" spans="1:7" x14ac:dyDescent="0.3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</row>
    <row r="3" spans="1:7" x14ac:dyDescent="0.3">
      <c r="A3">
        <v>1</v>
      </c>
      <c r="B3" t="s">
        <v>0</v>
      </c>
      <c r="C3" t="s">
        <v>1</v>
      </c>
      <c r="D3">
        <v>20</v>
      </c>
      <c r="E3" t="s">
        <v>2</v>
      </c>
      <c r="F3" t="s">
        <v>3</v>
      </c>
      <c r="G3">
        <v>2022</v>
      </c>
    </row>
    <row r="4" spans="1:7" x14ac:dyDescent="0.3">
      <c r="A4">
        <v>2</v>
      </c>
      <c r="B4" t="s">
        <v>4</v>
      </c>
      <c r="C4" t="s">
        <v>5</v>
      </c>
      <c r="D4">
        <v>21</v>
      </c>
      <c r="E4" t="s">
        <v>6</v>
      </c>
      <c r="F4" t="s">
        <v>3</v>
      </c>
      <c r="G4">
        <v>2021</v>
      </c>
    </row>
    <row r="5" spans="1:7" x14ac:dyDescent="0.3">
      <c r="A5">
        <v>3</v>
      </c>
      <c r="B5" t="s">
        <v>7</v>
      </c>
      <c r="C5" t="s">
        <v>1</v>
      </c>
      <c r="D5">
        <v>22</v>
      </c>
      <c r="E5" t="s">
        <v>8</v>
      </c>
      <c r="F5" t="s">
        <v>9</v>
      </c>
      <c r="G5">
        <v>2021</v>
      </c>
    </row>
    <row r="6" spans="1:7" x14ac:dyDescent="0.3">
      <c r="A6">
        <v>4</v>
      </c>
      <c r="B6" t="s">
        <v>10</v>
      </c>
      <c r="C6" t="s">
        <v>5</v>
      </c>
      <c r="D6">
        <v>20</v>
      </c>
      <c r="E6" t="s">
        <v>11</v>
      </c>
      <c r="F6" t="s">
        <v>12</v>
      </c>
      <c r="G6">
        <v>2022</v>
      </c>
    </row>
    <row r="7" spans="1:7" x14ac:dyDescent="0.3">
      <c r="A7">
        <v>5</v>
      </c>
      <c r="B7" t="s">
        <v>13</v>
      </c>
      <c r="C7" t="s">
        <v>1</v>
      </c>
      <c r="D7">
        <v>23</v>
      </c>
      <c r="E7" t="s">
        <v>14</v>
      </c>
      <c r="F7" t="s">
        <v>9</v>
      </c>
      <c r="G7">
        <v>2020</v>
      </c>
    </row>
    <row r="8" spans="1:7" x14ac:dyDescent="0.3">
      <c r="A8">
        <v>6</v>
      </c>
      <c r="B8" t="s">
        <v>15</v>
      </c>
      <c r="C8" t="s">
        <v>5</v>
      </c>
      <c r="D8">
        <v>21</v>
      </c>
      <c r="E8" t="s">
        <v>2</v>
      </c>
      <c r="F8" t="s">
        <v>3</v>
      </c>
      <c r="G8">
        <v>2022</v>
      </c>
    </row>
    <row r="9" spans="1:7" x14ac:dyDescent="0.3">
      <c r="A9">
        <v>7</v>
      </c>
      <c r="B9" t="s">
        <v>16</v>
      </c>
      <c r="C9" t="s">
        <v>1</v>
      </c>
      <c r="D9">
        <v>22</v>
      </c>
      <c r="E9" t="s">
        <v>17</v>
      </c>
      <c r="F9" t="s">
        <v>12</v>
      </c>
      <c r="G9">
        <v>2021</v>
      </c>
    </row>
    <row r="10" spans="1:7" x14ac:dyDescent="0.3">
      <c r="A10">
        <v>8</v>
      </c>
      <c r="B10" t="s">
        <v>18</v>
      </c>
      <c r="C10" t="s">
        <v>5</v>
      </c>
      <c r="D10">
        <v>20</v>
      </c>
      <c r="E10" t="s">
        <v>6</v>
      </c>
      <c r="F10" t="s">
        <v>19</v>
      </c>
      <c r="G10">
        <v>2023</v>
      </c>
    </row>
    <row r="11" spans="1:7" x14ac:dyDescent="0.3">
      <c r="A11">
        <v>9</v>
      </c>
      <c r="B11" t="s">
        <v>20</v>
      </c>
      <c r="C11" t="s">
        <v>1</v>
      </c>
      <c r="D11">
        <v>24</v>
      </c>
      <c r="E11" t="s">
        <v>8</v>
      </c>
      <c r="F11" t="s">
        <v>19</v>
      </c>
      <c r="G11">
        <v>2020</v>
      </c>
    </row>
    <row r="12" spans="1:7" x14ac:dyDescent="0.3">
      <c r="A12">
        <v>10</v>
      </c>
      <c r="B12" t="s">
        <v>21</v>
      </c>
      <c r="C12" t="s">
        <v>5</v>
      </c>
      <c r="D12">
        <v>21</v>
      </c>
      <c r="E12" t="s">
        <v>11</v>
      </c>
      <c r="F12" t="s">
        <v>3</v>
      </c>
      <c r="G12">
        <v>2021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C83BA-17A9-4146-8A9F-1ECEAD8AA282}">
  <dimension ref="A1:E8"/>
  <sheetViews>
    <sheetView workbookViewId="0">
      <selection activeCell="G6" sqref="G6"/>
    </sheetView>
  </sheetViews>
  <sheetFormatPr defaultRowHeight="14.4" x14ac:dyDescent="0.3"/>
  <cols>
    <col min="1" max="1" width="11.109375" bestFit="1" customWidth="1"/>
    <col min="2" max="2" width="15.77734375" bestFit="1" customWidth="1"/>
    <col min="3" max="3" width="15.88671875" bestFit="1" customWidth="1"/>
    <col min="4" max="4" width="13.44140625" bestFit="1" customWidth="1"/>
    <col min="5" max="5" width="9.33203125" bestFit="1" customWidth="1"/>
  </cols>
  <sheetData>
    <row r="1" spans="1:5" x14ac:dyDescent="0.3">
      <c r="A1" s="2" t="s">
        <v>74</v>
      </c>
    </row>
    <row r="2" spans="1:5" x14ac:dyDescent="0.3">
      <c r="A2" t="s">
        <v>53</v>
      </c>
      <c r="B2" t="s">
        <v>56</v>
      </c>
      <c r="C2" t="s">
        <v>50</v>
      </c>
      <c r="D2" t="s">
        <v>57</v>
      </c>
      <c r="E2" t="s">
        <v>58</v>
      </c>
    </row>
    <row r="3" spans="1:5" x14ac:dyDescent="0.3">
      <c r="A3">
        <v>1</v>
      </c>
      <c r="B3" t="s">
        <v>22</v>
      </c>
      <c r="C3" t="s">
        <v>3</v>
      </c>
      <c r="D3">
        <v>1</v>
      </c>
      <c r="E3">
        <v>4</v>
      </c>
    </row>
    <row r="4" spans="1:5" x14ac:dyDescent="0.3">
      <c r="A4">
        <v>2</v>
      </c>
      <c r="B4" t="s">
        <v>23</v>
      </c>
      <c r="C4" t="s">
        <v>3</v>
      </c>
      <c r="D4">
        <v>5</v>
      </c>
      <c r="E4">
        <v>4</v>
      </c>
    </row>
    <row r="5" spans="1:5" x14ac:dyDescent="0.3">
      <c r="A5">
        <v>3</v>
      </c>
      <c r="B5" t="s">
        <v>24</v>
      </c>
      <c r="C5" t="s">
        <v>9</v>
      </c>
      <c r="D5">
        <v>3</v>
      </c>
      <c r="E5">
        <v>3</v>
      </c>
    </row>
    <row r="6" spans="1:5" x14ac:dyDescent="0.3">
      <c r="A6">
        <v>4</v>
      </c>
      <c r="B6" t="s">
        <v>25</v>
      </c>
      <c r="C6" t="s">
        <v>12</v>
      </c>
      <c r="D6">
        <v>2</v>
      </c>
      <c r="E6">
        <v>3</v>
      </c>
    </row>
    <row r="7" spans="1:5" x14ac:dyDescent="0.3">
      <c r="A7">
        <v>5</v>
      </c>
      <c r="B7" t="s">
        <v>26</v>
      </c>
      <c r="C7" t="s">
        <v>19</v>
      </c>
      <c r="D7">
        <v>4</v>
      </c>
      <c r="E7">
        <v>3</v>
      </c>
    </row>
    <row r="8" spans="1:5" x14ac:dyDescent="0.3">
      <c r="A8">
        <v>6</v>
      </c>
      <c r="B8" t="s">
        <v>27</v>
      </c>
      <c r="C8" t="s">
        <v>3</v>
      </c>
      <c r="D8">
        <v>1</v>
      </c>
      <c r="E8">
        <v>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A9694-23A5-4E23-8B1A-ACA7FA86632C}">
  <dimension ref="A1:E13"/>
  <sheetViews>
    <sheetView workbookViewId="0">
      <selection activeCell="G6" sqref="G6"/>
    </sheetView>
  </sheetViews>
  <sheetFormatPr defaultRowHeight="14.4" x14ac:dyDescent="0.3"/>
  <cols>
    <col min="1" max="1" width="14.44140625" bestFit="1" customWidth="1"/>
    <col min="2" max="2" width="11.88671875" bestFit="1" customWidth="1"/>
    <col min="3" max="3" width="11.109375" bestFit="1" customWidth="1"/>
    <col min="4" max="4" width="11.21875" bestFit="1" customWidth="1"/>
    <col min="5" max="5" width="6.88671875" bestFit="1" customWidth="1"/>
  </cols>
  <sheetData>
    <row r="1" spans="1:5" x14ac:dyDescent="0.3">
      <c r="A1" s="2" t="s">
        <v>75</v>
      </c>
    </row>
    <row r="2" spans="1:5" x14ac:dyDescent="0.3">
      <c r="A2" t="s">
        <v>63</v>
      </c>
      <c r="B2" t="s">
        <v>45</v>
      </c>
      <c r="C2" t="s">
        <v>53</v>
      </c>
      <c r="D2" t="s">
        <v>64</v>
      </c>
      <c r="E2" t="s">
        <v>65</v>
      </c>
    </row>
    <row r="3" spans="1:5" x14ac:dyDescent="0.3">
      <c r="A3">
        <v>1</v>
      </c>
      <c r="B3">
        <v>1</v>
      </c>
      <c r="C3">
        <v>1</v>
      </c>
      <c r="D3" t="s">
        <v>28</v>
      </c>
      <c r="E3">
        <v>2023</v>
      </c>
    </row>
    <row r="4" spans="1:5" x14ac:dyDescent="0.3">
      <c r="A4">
        <v>2</v>
      </c>
      <c r="B4">
        <v>1</v>
      </c>
      <c r="C4">
        <v>2</v>
      </c>
      <c r="D4" t="s">
        <v>28</v>
      </c>
      <c r="E4">
        <v>2023</v>
      </c>
    </row>
    <row r="5" spans="1:5" x14ac:dyDescent="0.3">
      <c r="A5">
        <v>3</v>
      </c>
      <c r="B5">
        <v>2</v>
      </c>
      <c r="C5">
        <v>1</v>
      </c>
      <c r="D5" t="s">
        <v>29</v>
      </c>
      <c r="E5">
        <v>2023</v>
      </c>
    </row>
    <row r="6" spans="1:5" x14ac:dyDescent="0.3">
      <c r="A6">
        <v>4</v>
      </c>
      <c r="B6">
        <v>3</v>
      </c>
      <c r="C6">
        <v>3</v>
      </c>
      <c r="D6" t="s">
        <v>28</v>
      </c>
      <c r="E6">
        <v>2023</v>
      </c>
    </row>
    <row r="7" spans="1:5" x14ac:dyDescent="0.3">
      <c r="A7">
        <v>5</v>
      </c>
      <c r="B7">
        <v>4</v>
      </c>
      <c r="C7">
        <v>4</v>
      </c>
      <c r="D7" t="s">
        <v>28</v>
      </c>
      <c r="E7">
        <v>2023</v>
      </c>
    </row>
    <row r="8" spans="1:5" x14ac:dyDescent="0.3">
      <c r="A8">
        <v>6</v>
      </c>
      <c r="B8">
        <v>5</v>
      </c>
      <c r="C8">
        <v>3</v>
      </c>
      <c r="D8" t="s">
        <v>29</v>
      </c>
      <c r="E8">
        <v>2023</v>
      </c>
    </row>
    <row r="9" spans="1:5" x14ac:dyDescent="0.3">
      <c r="A9">
        <v>7</v>
      </c>
      <c r="B9">
        <v>6</v>
      </c>
      <c r="C9">
        <v>2</v>
      </c>
      <c r="D9" t="s">
        <v>28</v>
      </c>
      <c r="E9">
        <v>2023</v>
      </c>
    </row>
    <row r="10" spans="1:5" x14ac:dyDescent="0.3">
      <c r="A10">
        <v>8</v>
      </c>
      <c r="B10">
        <v>7</v>
      </c>
      <c r="C10">
        <v>4</v>
      </c>
      <c r="D10" t="s">
        <v>29</v>
      </c>
      <c r="E10">
        <v>2023</v>
      </c>
    </row>
    <row r="11" spans="1:5" x14ac:dyDescent="0.3">
      <c r="A11">
        <v>9</v>
      </c>
      <c r="B11">
        <v>8</v>
      </c>
      <c r="C11">
        <v>5</v>
      </c>
      <c r="D11" t="s">
        <v>28</v>
      </c>
      <c r="E11">
        <v>2023</v>
      </c>
    </row>
    <row r="12" spans="1:5" x14ac:dyDescent="0.3">
      <c r="A12">
        <v>10</v>
      </c>
      <c r="B12">
        <v>9</v>
      </c>
      <c r="C12">
        <v>5</v>
      </c>
      <c r="D12" t="s">
        <v>29</v>
      </c>
      <c r="E12">
        <v>2023</v>
      </c>
    </row>
    <row r="13" spans="1:5" x14ac:dyDescent="0.3">
      <c r="A13">
        <v>11</v>
      </c>
      <c r="B13">
        <v>10</v>
      </c>
      <c r="C13">
        <v>6</v>
      </c>
      <c r="D13" t="s">
        <v>28</v>
      </c>
      <c r="E13">
        <v>2023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5E827-6C4D-4340-9C3E-FBE3C3A2B065}">
  <dimension ref="A1:E13"/>
  <sheetViews>
    <sheetView workbookViewId="0">
      <selection activeCell="G5" sqref="G5"/>
    </sheetView>
  </sheetViews>
  <sheetFormatPr defaultRowHeight="14.4" x14ac:dyDescent="0.3"/>
  <cols>
    <col min="1" max="1" width="9.88671875" bestFit="1" customWidth="1"/>
    <col min="2" max="2" width="11.88671875" bestFit="1" customWidth="1"/>
    <col min="3" max="3" width="11.109375" bestFit="1" customWidth="1"/>
    <col min="4" max="4" width="8" bestFit="1" customWidth="1"/>
    <col min="5" max="5" width="8.33203125" bestFit="1" customWidth="1"/>
  </cols>
  <sheetData>
    <row r="1" spans="1:5" x14ac:dyDescent="0.3">
      <c r="A1" s="2" t="s">
        <v>76</v>
      </c>
    </row>
    <row r="2" spans="1:5" x14ac:dyDescent="0.3">
      <c r="A2" t="s">
        <v>52</v>
      </c>
      <c r="B2" t="s">
        <v>45</v>
      </c>
      <c r="C2" t="s">
        <v>53</v>
      </c>
      <c r="D2" t="s">
        <v>54</v>
      </c>
      <c r="E2" t="s">
        <v>55</v>
      </c>
    </row>
    <row r="3" spans="1:5" x14ac:dyDescent="0.3">
      <c r="A3">
        <v>1</v>
      </c>
      <c r="B3">
        <v>1</v>
      </c>
      <c r="C3">
        <v>1</v>
      </c>
      <c r="D3">
        <v>88</v>
      </c>
      <c r="E3" t="s">
        <v>30</v>
      </c>
    </row>
    <row r="4" spans="1:5" x14ac:dyDescent="0.3">
      <c r="A4">
        <v>2</v>
      </c>
      <c r="B4">
        <v>1</v>
      </c>
      <c r="C4">
        <v>2</v>
      </c>
      <c r="D4">
        <v>91</v>
      </c>
      <c r="E4" t="s">
        <v>30</v>
      </c>
    </row>
    <row r="5" spans="1:5" x14ac:dyDescent="0.3">
      <c r="A5">
        <v>3</v>
      </c>
      <c r="B5">
        <v>2</v>
      </c>
      <c r="C5">
        <v>1</v>
      </c>
      <c r="D5">
        <v>76</v>
      </c>
      <c r="E5" t="s">
        <v>31</v>
      </c>
    </row>
    <row r="6" spans="1:5" x14ac:dyDescent="0.3">
      <c r="A6">
        <v>4</v>
      </c>
      <c r="B6">
        <v>3</v>
      </c>
      <c r="C6">
        <v>3</v>
      </c>
      <c r="D6">
        <v>69</v>
      </c>
      <c r="E6" t="s">
        <v>32</v>
      </c>
    </row>
    <row r="7" spans="1:5" x14ac:dyDescent="0.3">
      <c r="A7">
        <v>5</v>
      </c>
      <c r="B7">
        <v>4</v>
      </c>
      <c r="C7">
        <v>4</v>
      </c>
      <c r="D7">
        <v>82</v>
      </c>
      <c r="E7" t="s">
        <v>31</v>
      </c>
    </row>
    <row r="8" spans="1:5" x14ac:dyDescent="0.3">
      <c r="A8">
        <v>6</v>
      </c>
      <c r="B8">
        <v>5</v>
      </c>
      <c r="C8">
        <v>3</v>
      </c>
      <c r="D8">
        <v>73</v>
      </c>
      <c r="E8" t="s">
        <v>31</v>
      </c>
    </row>
    <row r="9" spans="1:5" x14ac:dyDescent="0.3">
      <c r="A9">
        <v>7</v>
      </c>
      <c r="B9">
        <v>6</v>
      </c>
      <c r="C9">
        <v>2</v>
      </c>
      <c r="D9">
        <v>95</v>
      </c>
      <c r="E9" t="s">
        <v>30</v>
      </c>
    </row>
    <row r="10" spans="1:5" x14ac:dyDescent="0.3">
      <c r="A10">
        <v>8</v>
      </c>
      <c r="B10">
        <v>7</v>
      </c>
      <c r="C10">
        <v>4</v>
      </c>
      <c r="D10">
        <v>67</v>
      </c>
      <c r="E10" t="s">
        <v>32</v>
      </c>
    </row>
    <row r="11" spans="1:5" x14ac:dyDescent="0.3">
      <c r="A11">
        <v>9</v>
      </c>
      <c r="B11">
        <v>8</v>
      </c>
      <c r="C11">
        <v>5</v>
      </c>
      <c r="D11">
        <v>79</v>
      </c>
      <c r="E11" t="s">
        <v>31</v>
      </c>
    </row>
    <row r="12" spans="1:5" x14ac:dyDescent="0.3">
      <c r="A12">
        <v>10</v>
      </c>
      <c r="B12">
        <v>9</v>
      </c>
      <c r="C12">
        <v>5</v>
      </c>
      <c r="D12">
        <v>85</v>
      </c>
      <c r="E12" t="s">
        <v>30</v>
      </c>
    </row>
    <row r="13" spans="1:5" x14ac:dyDescent="0.3">
      <c r="A13">
        <v>11</v>
      </c>
      <c r="B13">
        <v>10</v>
      </c>
      <c r="C13">
        <v>6</v>
      </c>
      <c r="D13">
        <v>90</v>
      </c>
      <c r="E13" t="s">
        <v>30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FAF47-6FDC-4C70-9D1D-D35693BE75D7}">
  <dimension ref="A1:E7"/>
  <sheetViews>
    <sheetView workbookViewId="0">
      <selection activeCell="D22" sqref="D22"/>
    </sheetView>
  </sheetViews>
  <sheetFormatPr defaultRowHeight="14.4" x14ac:dyDescent="0.3"/>
  <cols>
    <col min="1" max="1" width="13.44140625" bestFit="1" customWidth="1"/>
    <col min="2" max="2" width="16.77734375" bestFit="1" customWidth="1"/>
    <col min="3" max="3" width="15.88671875" bestFit="1" customWidth="1"/>
    <col min="4" max="4" width="17.44140625" bestFit="1" customWidth="1"/>
    <col min="5" max="5" width="8.44140625" bestFit="1" customWidth="1"/>
  </cols>
  <sheetData>
    <row r="1" spans="1:5" x14ac:dyDescent="0.3">
      <c r="A1" s="2" t="s">
        <v>77</v>
      </c>
    </row>
    <row r="2" spans="1:5" x14ac:dyDescent="0.3">
      <c r="A2" t="s">
        <v>57</v>
      </c>
      <c r="B2" t="s">
        <v>59</v>
      </c>
      <c r="C2" t="s">
        <v>60</v>
      </c>
      <c r="D2" t="s">
        <v>61</v>
      </c>
      <c r="E2" t="s">
        <v>62</v>
      </c>
    </row>
    <row r="3" spans="1:5" x14ac:dyDescent="0.3">
      <c r="A3">
        <v>1</v>
      </c>
      <c r="B3" t="s">
        <v>33</v>
      </c>
      <c r="C3" t="s">
        <v>3</v>
      </c>
      <c r="D3">
        <v>15</v>
      </c>
      <c r="E3">
        <v>120000</v>
      </c>
    </row>
    <row r="4" spans="1:5" x14ac:dyDescent="0.3">
      <c r="A4">
        <v>2</v>
      </c>
      <c r="B4" t="s">
        <v>34</v>
      </c>
      <c r="C4" t="s">
        <v>12</v>
      </c>
      <c r="D4">
        <v>12</v>
      </c>
      <c r="E4">
        <v>110000</v>
      </c>
    </row>
    <row r="5" spans="1:5" x14ac:dyDescent="0.3">
      <c r="A5">
        <v>3</v>
      </c>
      <c r="B5" t="s">
        <v>35</v>
      </c>
      <c r="C5" t="s">
        <v>9</v>
      </c>
      <c r="D5">
        <v>10</v>
      </c>
      <c r="E5">
        <v>100000</v>
      </c>
    </row>
    <row r="6" spans="1:5" x14ac:dyDescent="0.3">
      <c r="A6">
        <v>4</v>
      </c>
      <c r="B6" t="s">
        <v>36</v>
      </c>
      <c r="C6" t="s">
        <v>19</v>
      </c>
      <c r="D6">
        <v>8</v>
      </c>
      <c r="E6">
        <v>90000</v>
      </c>
    </row>
    <row r="7" spans="1:5" x14ac:dyDescent="0.3">
      <c r="A7">
        <v>5</v>
      </c>
      <c r="B7" t="s">
        <v>37</v>
      </c>
      <c r="C7" t="s">
        <v>3</v>
      </c>
      <c r="D7">
        <v>20</v>
      </c>
      <c r="E7">
        <v>150000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4FC4D-86CA-45C9-8DAF-2172C0EA1D4B}">
  <dimension ref="A1:E6"/>
  <sheetViews>
    <sheetView workbookViewId="0">
      <selection activeCell="B29" sqref="B29"/>
    </sheetView>
  </sheetViews>
  <sheetFormatPr defaultRowHeight="14.4" x14ac:dyDescent="0.3"/>
  <cols>
    <col min="1" max="1" width="12.6640625" bestFit="1" customWidth="1"/>
    <col min="2" max="2" width="11.88671875" bestFit="1" customWidth="1"/>
    <col min="3" max="3" width="13.77734375" bestFit="1" customWidth="1"/>
    <col min="4" max="4" width="14.77734375" bestFit="1" customWidth="1"/>
    <col min="5" max="5" width="17.21875" bestFit="1" customWidth="1"/>
  </cols>
  <sheetData>
    <row r="1" spans="1:5" x14ac:dyDescent="0.3">
      <c r="A1" s="2" t="s">
        <v>78</v>
      </c>
    </row>
    <row r="2" spans="1:5" x14ac:dyDescent="0.3">
      <c r="A2" t="s">
        <v>66</v>
      </c>
      <c r="B2" t="s">
        <v>45</v>
      </c>
      <c r="C2" t="s">
        <v>67</v>
      </c>
      <c r="D2" t="s">
        <v>68</v>
      </c>
      <c r="E2" t="s">
        <v>69</v>
      </c>
    </row>
    <row r="3" spans="1:5" x14ac:dyDescent="0.3">
      <c r="A3">
        <v>1</v>
      </c>
      <c r="B3">
        <v>1</v>
      </c>
      <c r="C3">
        <v>15000</v>
      </c>
      <c r="D3" s="1">
        <v>46122</v>
      </c>
      <c r="E3" t="s">
        <v>38</v>
      </c>
    </row>
    <row r="4" spans="1:5" x14ac:dyDescent="0.3">
      <c r="A4">
        <v>2</v>
      </c>
      <c r="B4">
        <v>2</v>
      </c>
      <c r="C4">
        <v>15000</v>
      </c>
      <c r="D4" s="1">
        <v>46123</v>
      </c>
      <c r="E4" t="s">
        <v>39</v>
      </c>
    </row>
    <row r="5" spans="1:5" x14ac:dyDescent="0.3">
      <c r="A5">
        <v>3</v>
      </c>
      <c r="B5">
        <v>3</v>
      </c>
      <c r="C5">
        <v>12000</v>
      </c>
      <c r="D5" s="1">
        <v>46124</v>
      </c>
      <c r="E5" t="s">
        <v>40</v>
      </c>
    </row>
    <row r="6" spans="1:5" x14ac:dyDescent="0.3">
      <c r="A6">
        <v>4</v>
      </c>
      <c r="B6">
        <v>4</v>
      </c>
      <c r="C6">
        <v>15000</v>
      </c>
      <c r="D6" s="1">
        <v>46127</v>
      </c>
      <c r="E6" t="s">
        <v>41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C0398-564A-46DA-80C7-8E816663C8C3}">
  <dimension ref="A1:N16"/>
  <sheetViews>
    <sheetView tabSelected="1" workbookViewId="0">
      <selection activeCell="G6" sqref="G6"/>
    </sheetView>
  </sheetViews>
  <sheetFormatPr defaultRowHeight="14.4" x14ac:dyDescent="0.3"/>
  <cols>
    <col min="1" max="1" width="24.44140625" bestFit="1" customWidth="1"/>
    <col min="6" max="6" width="11.88671875" bestFit="1" customWidth="1"/>
    <col min="7" max="7" width="15.109375" bestFit="1" customWidth="1"/>
    <col min="8" max="8" width="11.109375" bestFit="1" customWidth="1"/>
    <col min="9" max="9" width="15.77734375" bestFit="1" customWidth="1"/>
    <col min="10" max="10" width="15.88671875" bestFit="1" customWidth="1"/>
    <col min="11" max="11" width="8" bestFit="1" customWidth="1"/>
    <col min="12" max="12" width="8.33203125" bestFit="1" customWidth="1"/>
    <col min="13" max="13" width="18.5546875" bestFit="1" customWidth="1"/>
    <col min="14" max="15" width="13.77734375" bestFit="1" customWidth="1"/>
  </cols>
  <sheetData>
    <row r="1" spans="1:14" x14ac:dyDescent="0.3">
      <c r="F1" s="3" t="s">
        <v>45</v>
      </c>
      <c r="G1" s="4" t="s">
        <v>46</v>
      </c>
      <c r="H1" s="4" t="s">
        <v>53</v>
      </c>
      <c r="I1" s="4" t="s">
        <v>80</v>
      </c>
      <c r="J1" s="4" t="s">
        <v>50</v>
      </c>
      <c r="K1" s="4" t="s">
        <v>54</v>
      </c>
      <c r="L1" s="4" t="s">
        <v>55</v>
      </c>
      <c r="M1" s="4" t="s">
        <v>81</v>
      </c>
      <c r="N1" s="5" t="s">
        <v>67</v>
      </c>
    </row>
    <row r="2" spans="1:14" x14ac:dyDescent="0.3">
      <c r="A2" s="11" t="s">
        <v>88</v>
      </c>
      <c r="B2" s="13">
        <f>AVERAGE(Table2[[#All],[Age]])</f>
        <v>21.4</v>
      </c>
      <c r="F2" s="6">
        <f>_xlfn.XLOOKUP(Original!B39,Table3[Student ID],Table3[Student ID])</f>
        <v>1</v>
      </c>
      <c r="G2" s="7" t="str">
        <f>_xlfn.XLOOKUP(Original!B3,Table2[Student Name],Table2[Student Name])</f>
        <v>Arjun</v>
      </c>
      <c r="H2" s="7">
        <f>_xlfn.XLOOKUP(Original!C39,Table3[Course ID],Table3[Course ID])</f>
        <v>1</v>
      </c>
      <c r="I2" t="str">
        <f>_xlfn.XLOOKUP(Table1[[#This Row],[Course ID]],Table4[Course ID],Table4[[Course Name ]])</f>
        <v>Data Structures</v>
      </c>
      <c r="J2" s="7" t="str">
        <f>_xlfn.XLOOKUP(Table1[[#This Row],[Course ID]],Table4[Course ID],Table4[Department])</f>
        <v>Computer Science</v>
      </c>
      <c r="K2" s="7">
        <f>_xlfn.XLOOKUP(Original!D39,Table3[Score],Table3[Score])</f>
        <v>88</v>
      </c>
      <c r="L2" s="7" t="str">
        <f>_xlfn.XLOOKUP(Original!E39,Table3[Grade],Table3[Grade])</f>
        <v>A</v>
      </c>
      <c r="M2" s="7" t="str" cm="1">
        <f t="array" ref="M2">_xlfn.XLOOKUP(Table1[[#This Row],[Student ID]]&amp;Table1[[#This Row],[Course ID]],Table9[Student ID]&amp;Table9[Course ID],Table9[Status],"No Record")</f>
        <v>present</v>
      </c>
      <c r="N2" s="8">
        <f>_xlfn.XLOOKUP(Table1[[#This Row],[Student ID]],Table7[Student ID],Table7[Amount Paid],0)</f>
        <v>15000</v>
      </c>
    </row>
    <row r="3" spans="1:14" x14ac:dyDescent="0.3">
      <c r="A3" s="5" t="s">
        <v>89</v>
      </c>
      <c r="B3" s="14">
        <f>AVERAGE(Table3[[#All],[Score]])</f>
        <v>81.36363636363636</v>
      </c>
      <c r="F3" s="6">
        <f>_xlfn.XLOOKUP(Original!B40,Table3[Student ID],Table3[Student ID])</f>
        <v>1</v>
      </c>
      <c r="G3" s="7" t="str">
        <f>_xlfn.XLOOKUP(Original!B3,Table2[Student Name],Table2[Student Name])</f>
        <v>Arjun</v>
      </c>
      <c r="H3" s="7">
        <f>_xlfn.XLOOKUP(Original!C40,Table3[Course ID],Table3[Course ID])</f>
        <v>2</v>
      </c>
      <c r="I3" s="7" t="str">
        <f>_xlfn.XLOOKUP(Table1[[#This Row],[Course ID]],Table4[Course ID],Table4[[Course Name ]])</f>
        <v>Machine Learning</v>
      </c>
      <c r="J3" s="7" t="str">
        <f>_xlfn.XLOOKUP(Table1[[#This Row],[Course ID]],Table4[Course ID],Table4[Department])</f>
        <v>Computer Science</v>
      </c>
      <c r="K3" s="7">
        <f>_xlfn.XLOOKUP(Original!D40,Table3[Score],Table3[Score])</f>
        <v>91</v>
      </c>
      <c r="L3" s="7" t="str">
        <f>_xlfn.XLOOKUP(Original!E40,Table3[Grade],Table3[Grade])</f>
        <v>A</v>
      </c>
      <c r="M3" s="7" t="str" cm="1">
        <f t="array" ref="M3">_xlfn.XLOOKUP(Table1[[#This Row],[Student ID]]&amp;Table1[[#This Row],[Course ID]],Table9[Student ID]&amp;Table9[Course ID],Table9[Status],"No Record")</f>
        <v>present</v>
      </c>
      <c r="N3" s="8">
        <f>_xlfn.XLOOKUP(Table1[[#This Row],[Student ID]],Table7[Student ID],Table7[Amount Paid],0)</f>
        <v>15000</v>
      </c>
    </row>
    <row r="4" spans="1:14" x14ac:dyDescent="0.3">
      <c r="F4" s="6">
        <f>_xlfn.XLOOKUP(Original!B41,Table3[Student ID],Table3[Student ID])</f>
        <v>2</v>
      </c>
      <c r="G4" s="7" t="str">
        <f>_xlfn.XLOOKUP(Original!B4,Table2[Student Name],Table2[Student Name])</f>
        <v>Meera</v>
      </c>
      <c r="H4" s="7">
        <f>_xlfn.XLOOKUP(Original!C41,Table3[Course ID],Table3[Course ID])</f>
        <v>1</v>
      </c>
      <c r="I4" s="7" t="str">
        <f>_xlfn.XLOOKUP(Table1[[#This Row],[Course ID]],Table4[Course ID],Table4[[Course Name ]])</f>
        <v>Data Structures</v>
      </c>
      <c r="J4" s="7" t="str">
        <f>_xlfn.XLOOKUP(Table1[[#This Row],[Course ID]],Table4[Course ID],Table4[Department])</f>
        <v>Computer Science</v>
      </c>
      <c r="K4" s="7">
        <f>_xlfn.XLOOKUP(Original!D41,Table3[Score],Table3[Score])</f>
        <v>76</v>
      </c>
      <c r="L4" s="7" t="str">
        <f>_xlfn.XLOOKUP(Original!E41,Table3[Grade],Table3[Grade])</f>
        <v>B</v>
      </c>
      <c r="M4" s="7" t="str" cm="1">
        <f t="array" ref="M4">_xlfn.XLOOKUP(Table1[[#This Row],[Student ID]]&amp;Table1[[#This Row],[Course ID]],Table9[Student ID]&amp;Table9[Course ID],Table9[Status],"No Record")</f>
        <v>absent</v>
      </c>
      <c r="N4" s="8">
        <f>_xlfn.XLOOKUP(Table1[[#This Row],[Student ID]],Table7[Student ID],Table7[Amount Paid],0)</f>
        <v>15000</v>
      </c>
    </row>
    <row r="5" spans="1:14" x14ac:dyDescent="0.3">
      <c r="A5" s="19" t="s">
        <v>87</v>
      </c>
      <c r="B5" s="19"/>
      <c r="F5" s="6">
        <f>_xlfn.XLOOKUP(Original!B42,Table3[Student ID],Table3[Student ID])</f>
        <v>3</v>
      </c>
      <c r="G5" s="7" t="str">
        <f>_xlfn.XLOOKUP(Original!B5,Table2[Student Name],Table2[Student Name])</f>
        <v>Ravi</v>
      </c>
      <c r="H5" s="7">
        <f>_xlfn.XLOOKUP(Original!C42,Table3[Course ID],Table3[Course ID])</f>
        <v>3</v>
      </c>
      <c r="I5" s="7" t="str">
        <f>_xlfn.XLOOKUP(Table1[[#This Row],[Course ID]],Table4[Course ID],Table4[[Course Name ]])</f>
        <v>Thermodynamics</v>
      </c>
      <c r="J5" s="7" t="str">
        <f>_xlfn.XLOOKUP(Table1[[#This Row],[Course ID]],Table4[Course ID],Table4[Department])</f>
        <v>Mechanical</v>
      </c>
      <c r="K5" s="7">
        <f>_xlfn.XLOOKUP(Original!D42,Table3[Score],Table3[Score])</f>
        <v>69</v>
      </c>
      <c r="L5" s="7" t="str">
        <f>_xlfn.XLOOKUP(Original!E42,Table3[Grade],Table3[Grade])</f>
        <v>C</v>
      </c>
      <c r="M5" s="7" t="str" cm="1">
        <f t="array" ref="M5">_xlfn.XLOOKUP(Table1[[#This Row],[Student ID]]&amp;Table1[[#This Row],[Course ID]],Table9[Student ID]&amp;Table9[Course ID],Table9[Status],"No Record")</f>
        <v>present</v>
      </c>
      <c r="N5" s="8">
        <f>_xlfn.XLOOKUP(Table1[[#This Row],[Student ID]],Table7[Student ID],Table7[Amount Paid],0)</f>
        <v>12000</v>
      </c>
    </row>
    <row r="6" spans="1:14" x14ac:dyDescent="0.3">
      <c r="A6" s="11" t="s">
        <v>3</v>
      </c>
      <c r="B6" s="10">
        <f>AVERAGE(K2:K4,K8,K12)</f>
        <v>88</v>
      </c>
      <c r="F6" s="6">
        <f>_xlfn.XLOOKUP(Original!B43,Table3[Student ID],Table3[Student ID])</f>
        <v>4</v>
      </c>
      <c r="G6" s="7" t="str">
        <f>_xlfn.XLOOKUP(Original!B6,Table2[Student Name],Table2[Student Name])</f>
        <v>Sneha</v>
      </c>
      <c r="H6" s="7">
        <f>_xlfn.XLOOKUP(Original!C43,Table3[Course ID],Table3[Course ID])</f>
        <v>4</v>
      </c>
      <c r="I6" s="7" t="str">
        <f>_xlfn.XLOOKUP(Table1[[#This Row],[Course ID]],Table4[Course ID],Table4[[Course Name ]])</f>
        <v>Circuit Analysis</v>
      </c>
      <c r="J6" s="7" t="str">
        <f>_xlfn.XLOOKUP(Table1[[#This Row],[Course ID]],Table4[Course ID],Table4[Department])</f>
        <v>Electrical</v>
      </c>
      <c r="K6" s="7">
        <f>_xlfn.XLOOKUP(Original!D43,Table3[Score],Table3[Score])</f>
        <v>82</v>
      </c>
      <c r="L6" s="7" t="str">
        <f>_xlfn.XLOOKUP(Original!E43,Table3[Grade],Table3[Grade])</f>
        <v>B</v>
      </c>
      <c r="M6" s="7" t="str" cm="1">
        <f t="array" ref="M6">_xlfn.XLOOKUP(Table1[[#This Row],[Student ID]]&amp;Table1[[#This Row],[Course ID]],Table9[Student ID]&amp;Table9[Course ID],Table9[Status],"No Record")</f>
        <v>present</v>
      </c>
      <c r="N6" s="8">
        <f>_xlfn.XLOOKUP(Table1[[#This Row],[Student ID]],Table7[Student ID],Table7[Amount Paid],0)</f>
        <v>15000</v>
      </c>
    </row>
    <row r="7" spans="1:14" x14ac:dyDescent="0.3">
      <c r="A7" s="12" t="s">
        <v>9</v>
      </c>
      <c r="B7" s="15">
        <f>AVERAGE(K5,K7)</f>
        <v>71</v>
      </c>
      <c r="F7" s="6">
        <f>_xlfn.XLOOKUP(Original!B44,Table3[Student ID],Table3[Student ID])</f>
        <v>5</v>
      </c>
      <c r="G7" s="7" t="str">
        <f>_xlfn.XLOOKUP(Original!B7,Table2[Student Name],Table2[Student Name])</f>
        <v>Vikram</v>
      </c>
      <c r="H7" s="7">
        <f>_xlfn.XLOOKUP(Original!C44,Table3[Course ID],Table3[Course ID])</f>
        <v>3</v>
      </c>
      <c r="I7" s="7" t="str">
        <f>_xlfn.XLOOKUP(Table1[[#This Row],[Course ID]],Table4[Course ID],Table4[[Course Name ]])</f>
        <v>Thermodynamics</v>
      </c>
      <c r="J7" s="7" t="str">
        <f>_xlfn.XLOOKUP(Table1[[#This Row],[Course ID]],Table4[Course ID],Table4[Department])</f>
        <v>Mechanical</v>
      </c>
      <c r="K7" s="7">
        <f>_xlfn.XLOOKUP(Original!D44,Table3[Score],Table3[Score])</f>
        <v>73</v>
      </c>
      <c r="L7" s="7" t="str">
        <f>_xlfn.XLOOKUP(Original!E44,Table3[Grade],Table3[Grade])</f>
        <v>B</v>
      </c>
      <c r="M7" s="7" t="str" cm="1">
        <f t="array" ref="M7">_xlfn.XLOOKUP(Table1[[#This Row],[Student ID]]&amp;Table1[[#This Row],[Course ID]],Table9[Student ID]&amp;Table9[Course ID],Table9[Status],"No Record")</f>
        <v>excused</v>
      </c>
      <c r="N7" s="8">
        <f>_xlfn.XLOOKUP(Table1[[#This Row],[Student ID]],Table7[Student ID],Table7[Amount Paid],0)</f>
        <v>0</v>
      </c>
    </row>
    <row r="8" spans="1:14" x14ac:dyDescent="0.3">
      <c r="A8" s="12" t="s">
        <v>12</v>
      </c>
      <c r="B8" s="15">
        <f>AVERAGE(K6,Table1[[#This Row],[Score]])</f>
        <v>88.5</v>
      </c>
      <c r="F8" s="6">
        <f>_xlfn.XLOOKUP(Original!B45,Table3[Student ID],Table3[Student ID])</f>
        <v>6</v>
      </c>
      <c r="G8" s="7" t="str">
        <f>_xlfn.XLOOKUP(Original!B8,Table2[Student Name],Table2[Student Name])</f>
        <v>Priya</v>
      </c>
      <c r="H8" s="7">
        <f>_xlfn.XLOOKUP(Original!C45,Table3[Course ID],Table3[Course ID])</f>
        <v>2</v>
      </c>
      <c r="I8" s="7" t="str">
        <f>_xlfn.XLOOKUP(Table1[[#This Row],[Course ID]],Table4[Course ID],Table4[[Course Name ]])</f>
        <v>Machine Learning</v>
      </c>
      <c r="J8" s="7" t="str">
        <f>_xlfn.XLOOKUP(Table1[[#This Row],[Course ID]],Table4[Course ID],Table4[Department])</f>
        <v>Computer Science</v>
      </c>
      <c r="K8" s="7">
        <f>_xlfn.XLOOKUP(Original!D45,Table3[Score],Table3[Score])</f>
        <v>95</v>
      </c>
      <c r="L8" s="7" t="str">
        <f>_xlfn.XLOOKUP(Original!E45,Table3[Grade],Table3[Grade])</f>
        <v>A</v>
      </c>
      <c r="M8" s="7" t="str" cm="1">
        <f t="array" ref="M8">_xlfn.XLOOKUP(Table1[[#This Row],[Student ID]]&amp;Table1[[#This Row],[Course ID]],Table9[Student ID]&amp;Table9[Course ID],Table9[Status],"No Record")</f>
        <v>No Record</v>
      </c>
      <c r="N8" s="8">
        <f>_xlfn.XLOOKUP(Table1[[#This Row],[Student ID]],Table7[Student ID],Table7[Amount Paid],0)</f>
        <v>0</v>
      </c>
    </row>
    <row r="9" spans="1:14" x14ac:dyDescent="0.3">
      <c r="A9" s="5" t="s">
        <v>19</v>
      </c>
      <c r="B9" s="4">
        <f>AVERAGE(K10:K11)</f>
        <v>82</v>
      </c>
      <c r="F9" s="6">
        <f>_xlfn.XLOOKUP(Original!B46,Table3[Student ID],Table3[Student ID])</f>
        <v>7</v>
      </c>
      <c r="G9" s="7" t="str">
        <f>_xlfn.XLOOKUP(Original!B9,Table2[Student Name],Table2[Student Name])</f>
        <v>Rohit</v>
      </c>
      <c r="H9" s="7">
        <f>_xlfn.XLOOKUP(Original!C46,Table3[Course ID],Table3[Course ID])</f>
        <v>4</v>
      </c>
      <c r="I9" s="7" t="str">
        <f>_xlfn.XLOOKUP(Table1[[#This Row],[Course ID]],Table4[Course ID],Table4[[Course Name ]])</f>
        <v>Circuit Analysis</v>
      </c>
      <c r="J9" s="7" t="str">
        <f>_xlfn.XLOOKUP(Table1[[#This Row],[Course ID]],Table4[Course ID],Table4[Department])</f>
        <v>Electrical</v>
      </c>
      <c r="K9" s="7">
        <f>_xlfn.XLOOKUP(Original!D46,Table3[Score],Table3[Score])</f>
        <v>67</v>
      </c>
      <c r="L9" s="7" t="str">
        <f>_xlfn.XLOOKUP(Original!E46,Table3[Grade],Table3[Grade])</f>
        <v>C</v>
      </c>
      <c r="M9" s="7" t="str" cm="1">
        <f t="array" ref="M9">_xlfn.XLOOKUP(Table1[[#This Row],[Student ID]]&amp;Table1[[#This Row],[Course ID]],Table9[Student ID]&amp;Table9[Course ID],Table9[Status],"No Record")</f>
        <v>No Record</v>
      </c>
      <c r="N9" s="8">
        <f>_xlfn.XLOOKUP(Table1[[#This Row],[Student ID]],Table7[Student ID],Table7[Amount Paid],0)</f>
        <v>0</v>
      </c>
    </row>
    <row r="10" spans="1:14" x14ac:dyDescent="0.3">
      <c r="F10" s="6">
        <f>_xlfn.XLOOKUP(Original!B47,Table3[Student ID],Table3[Student ID])</f>
        <v>8</v>
      </c>
      <c r="G10" s="7" t="str">
        <f>_xlfn.XLOOKUP(Original!B10,Table2[Student Name],Table2[Student Name])</f>
        <v>Neha</v>
      </c>
      <c r="H10" s="7">
        <f>_xlfn.XLOOKUP(Original!C47,Table3[Course ID],Table3[Course ID])</f>
        <v>5</v>
      </c>
      <c r="I10" s="7" t="str">
        <f>_xlfn.XLOOKUP(Table1[[#This Row],[Course ID]],Table4[Course ID],Table4[[Course Name ]])</f>
        <v>Structural Design</v>
      </c>
      <c r="J10" s="7" t="str">
        <f>_xlfn.XLOOKUP(Table1[[#This Row],[Course ID]],Table4[Course ID],Table4[Department])</f>
        <v>Civil</v>
      </c>
      <c r="K10" s="7">
        <f>_xlfn.XLOOKUP(Original!D47,Table3[Score],Table3[Score])</f>
        <v>79</v>
      </c>
      <c r="L10" s="7" t="str">
        <f>_xlfn.XLOOKUP(Original!E47,Table3[Grade],Table3[Grade])</f>
        <v>B</v>
      </c>
      <c r="M10" s="7" t="str" cm="1">
        <f t="array" ref="M10">_xlfn.XLOOKUP(Table1[[#This Row],[Student ID]]&amp;Table1[[#This Row],[Course ID]],Table9[Student ID]&amp;Table9[Course ID],Table9[Status],"No Record")</f>
        <v>No Record</v>
      </c>
      <c r="N10" s="8">
        <f>_xlfn.XLOOKUP(Table1[[#This Row],[Student ID]],Table7[Student ID],Table7[Amount Paid],0)</f>
        <v>0</v>
      </c>
    </row>
    <row r="11" spans="1:14" x14ac:dyDescent="0.3">
      <c r="A11" s="19" t="s">
        <v>86</v>
      </c>
      <c r="B11" s="19"/>
      <c r="F11" s="6">
        <f>_xlfn.XLOOKUP(Original!B48,Table3[Student ID],Table3[Student ID])</f>
        <v>9</v>
      </c>
      <c r="G11" s="7" t="str">
        <f>_xlfn.XLOOKUP(Original!B11,Table2[Student Name],Table2[Student Name])</f>
        <v>Kiran</v>
      </c>
      <c r="H11" s="7">
        <f>_xlfn.XLOOKUP(Original!C48,Table3[Course ID],Table3[Course ID])</f>
        <v>5</v>
      </c>
      <c r="I11" s="7" t="str">
        <f>_xlfn.XLOOKUP(Table1[[#This Row],[Course ID]],Table4[Course ID],Table4[[Course Name ]])</f>
        <v>Structural Design</v>
      </c>
      <c r="J11" s="7" t="str">
        <f>_xlfn.XLOOKUP(Table1[[#This Row],[Course ID]],Table4[Course ID],Table4[Department])</f>
        <v>Civil</v>
      </c>
      <c r="K11" s="7">
        <f>_xlfn.XLOOKUP(Original!D48,Table3[Score],Table3[Score])</f>
        <v>85</v>
      </c>
      <c r="L11" s="7" t="str">
        <f>_xlfn.XLOOKUP(Original!E48,Table3[Grade],Table3[Grade])</f>
        <v>A</v>
      </c>
      <c r="M11" s="7" t="str" cm="1">
        <f t="array" ref="M11">_xlfn.XLOOKUP(Table1[[#This Row],[Student ID]]&amp;Table1[[#This Row],[Course ID]],Table9[Student ID]&amp;Table9[Course ID],Table9[Status],"No Record")</f>
        <v>No Record</v>
      </c>
      <c r="N11" s="8">
        <f>_xlfn.XLOOKUP(Table1[[#This Row],[Student ID]],Table7[Student ID],Table7[Amount Paid],0)</f>
        <v>0</v>
      </c>
    </row>
    <row r="12" spans="1:14" x14ac:dyDescent="0.3">
      <c r="A12" s="11" t="s">
        <v>82</v>
      </c>
      <c r="B12" s="10">
        <f>COUNTA(M2:M3,M5:M6)</f>
        <v>4</v>
      </c>
      <c r="F12" s="9">
        <f>_xlfn.XLOOKUP(Original!B49,Table3[Student ID],Table3[Student ID])</f>
        <v>10</v>
      </c>
      <c r="G12" s="10" t="str">
        <f>_xlfn.XLOOKUP(Original!B12,Table2[Student Name],Table2[Student Name])</f>
        <v>Anjali</v>
      </c>
      <c r="H12" s="10">
        <f>_xlfn.XLOOKUP(Original!C49,Table3[Course ID],Table3[Course ID])</f>
        <v>6</v>
      </c>
      <c r="I12" s="10" t="str">
        <f>_xlfn.XLOOKUP(Table1[[#This Row],[Course ID]],Table4[Course ID],Table4[[Course Name ]])</f>
        <v>Database Systems</v>
      </c>
      <c r="J12" s="10" t="str">
        <f>_xlfn.XLOOKUP(Table1[[#This Row],[Course ID]],Table4[Course ID],Table4[Department])</f>
        <v>Computer Science</v>
      </c>
      <c r="K12" s="10">
        <f>_xlfn.XLOOKUP(Original!D49,Table3[Score],Table3[Score])</f>
        <v>90</v>
      </c>
      <c r="L12" s="7" t="str">
        <f>_xlfn.XLOOKUP(Original!E49,Table3[Grade],Table3[Grade])</f>
        <v>A</v>
      </c>
      <c r="M12" s="10" t="str" cm="1">
        <f t="array" ref="M12">_xlfn.XLOOKUP(Table1[[#This Row],[Student ID]]&amp;Table1[[#This Row],[Course ID]],Table9[Student ID]&amp;Table9[Course ID],Table9[Status],"No Record")</f>
        <v>No Record</v>
      </c>
      <c r="N12" s="11">
        <f>_xlfn.XLOOKUP(Table1[[#This Row],[Student ID]],Table7[Student ID],Table7[Amount Paid],0)</f>
        <v>0</v>
      </c>
    </row>
    <row r="13" spans="1:14" x14ac:dyDescent="0.3">
      <c r="A13" s="12" t="s">
        <v>83</v>
      </c>
      <c r="B13" s="15">
        <f>COUNTA(M4)</f>
        <v>1</v>
      </c>
    </row>
    <row r="14" spans="1:14" x14ac:dyDescent="0.3">
      <c r="A14" s="5" t="s">
        <v>84</v>
      </c>
      <c r="B14" s="4">
        <f>COUNTA(M7)</f>
        <v>1</v>
      </c>
    </row>
    <row r="16" spans="1:14" x14ac:dyDescent="0.3">
      <c r="A16" s="8" t="s">
        <v>85</v>
      </c>
      <c r="B16" s="7">
        <f>SUM(N2:N6)</f>
        <v>72000</v>
      </c>
    </row>
  </sheetData>
  <mergeCells count="2">
    <mergeCell ref="A5:B5"/>
    <mergeCell ref="A11:B1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C109D-2B0E-4C02-978A-5079C88CE05C}">
  <dimension ref="K1"/>
  <sheetViews>
    <sheetView showGridLines="0" zoomScale="99" zoomScaleNormal="99" workbookViewId="0">
      <selection activeCell="V57" sqref="V57"/>
    </sheetView>
  </sheetViews>
  <sheetFormatPr defaultRowHeight="14.4" x14ac:dyDescent="0.3"/>
  <cols>
    <col min="1" max="1" width="21.44140625" customWidth="1"/>
  </cols>
  <sheetData>
    <row r="1" spans="11:11" ht="21" x14ac:dyDescent="0.4">
      <c r="K1" s="18" t="s">
        <v>97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711AE-9340-46AC-B0BF-67FC352F070C}">
  <dimension ref="A1:B6"/>
  <sheetViews>
    <sheetView workbookViewId="0">
      <selection activeCell="O16" sqref="O16"/>
    </sheetView>
  </sheetViews>
  <sheetFormatPr defaultRowHeight="14.4" x14ac:dyDescent="0.3"/>
  <cols>
    <col min="1" max="1" width="15.88671875" bestFit="1" customWidth="1"/>
    <col min="2" max="2" width="14.6640625" bestFit="1" customWidth="1"/>
  </cols>
  <sheetData>
    <row r="1" spans="1:2" x14ac:dyDescent="0.3">
      <c r="A1" s="16" t="s">
        <v>90</v>
      </c>
      <c r="B1" t="s">
        <v>92</v>
      </c>
    </row>
    <row r="2" spans="1:2" x14ac:dyDescent="0.3">
      <c r="A2" s="17" t="s">
        <v>19</v>
      </c>
      <c r="B2">
        <v>82</v>
      </c>
    </row>
    <row r="3" spans="1:2" x14ac:dyDescent="0.3">
      <c r="A3" s="17" t="s">
        <v>3</v>
      </c>
      <c r="B3">
        <v>88</v>
      </c>
    </row>
    <row r="4" spans="1:2" x14ac:dyDescent="0.3">
      <c r="A4" s="17" t="s">
        <v>12</v>
      </c>
      <c r="B4">
        <v>74.5</v>
      </c>
    </row>
    <row r="5" spans="1:2" x14ac:dyDescent="0.3">
      <c r="A5" s="17" t="s">
        <v>9</v>
      </c>
      <c r="B5">
        <v>71</v>
      </c>
    </row>
    <row r="6" spans="1:2" x14ac:dyDescent="0.3">
      <c r="A6" s="17" t="s">
        <v>91</v>
      </c>
      <c r="B6">
        <v>81.36363636363636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82A6E-4178-4D38-AC2B-10D0C058AFF5}">
  <dimension ref="A1:B6"/>
  <sheetViews>
    <sheetView workbookViewId="0">
      <selection activeCell="O21" sqref="O21"/>
    </sheetView>
  </sheetViews>
  <sheetFormatPr defaultRowHeight="14.4" x14ac:dyDescent="0.3"/>
  <cols>
    <col min="1" max="1" width="15.88671875" bestFit="1" customWidth="1"/>
    <col min="2" max="2" width="16.88671875" bestFit="1" customWidth="1"/>
  </cols>
  <sheetData>
    <row r="1" spans="1:2" x14ac:dyDescent="0.3">
      <c r="A1" s="16" t="s">
        <v>90</v>
      </c>
      <c r="B1" t="s">
        <v>93</v>
      </c>
    </row>
    <row r="2" spans="1:2" x14ac:dyDescent="0.3">
      <c r="A2" s="17" t="s">
        <v>19</v>
      </c>
      <c r="B2">
        <v>2</v>
      </c>
    </row>
    <row r="3" spans="1:2" x14ac:dyDescent="0.3">
      <c r="A3" s="17" t="s">
        <v>3</v>
      </c>
      <c r="B3">
        <v>5</v>
      </c>
    </row>
    <row r="4" spans="1:2" x14ac:dyDescent="0.3">
      <c r="A4" s="17" t="s">
        <v>12</v>
      </c>
      <c r="B4">
        <v>2</v>
      </c>
    </row>
    <row r="5" spans="1:2" x14ac:dyDescent="0.3">
      <c r="A5" s="17" t="s">
        <v>9</v>
      </c>
      <c r="B5">
        <v>2</v>
      </c>
    </row>
    <row r="6" spans="1:2" x14ac:dyDescent="0.3">
      <c r="A6" s="17" t="s">
        <v>91</v>
      </c>
      <c r="B6">
        <v>11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EB0A-5092-402A-B828-79C8AA40C990}">
  <dimension ref="A1:B8"/>
  <sheetViews>
    <sheetView workbookViewId="0">
      <selection activeCell="B1" sqref="B1"/>
    </sheetView>
  </sheetViews>
  <sheetFormatPr defaultRowHeight="14.4" x14ac:dyDescent="0.3"/>
  <cols>
    <col min="1" max="1" width="15.77734375" bestFit="1" customWidth="1"/>
    <col min="2" max="2" width="11.33203125" bestFit="1" customWidth="1"/>
    <col min="3" max="4" width="5.33203125" bestFit="1" customWidth="1"/>
    <col min="5" max="5" width="6.109375" bestFit="1" customWidth="1"/>
    <col min="6" max="6" width="5.33203125" bestFit="1" customWidth="1"/>
    <col min="7" max="7" width="5.21875" bestFit="1" customWidth="1"/>
    <col min="8" max="8" width="4.5546875" bestFit="1" customWidth="1"/>
    <col min="9" max="9" width="5.33203125" bestFit="1" customWidth="1"/>
    <col min="10" max="10" width="6.109375" bestFit="1" customWidth="1"/>
    <col min="11" max="11" width="7" bestFit="1" customWidth="1"/>
    <col min="12" max="12" width="10.5546875" bestFit="1" customWidth="1"/>
  </cols>
  <sheetData>
    <row r="1" spans="1:2" x14ac:dyDescent="0.3">
      <c r="A1" s="16" t="s">
        <v>90</v>
      </c>
      <c r="B1" t="s">
        <v>94</v>
      </c>
    </row>
    <row r="2" spans="1:2" x14ac:dyDescent="0.3">
      <c r="A2" s="17" t="s">
        <v>25</v>
      </c>
      <c r="B2">
        <v>82</v>
      </c>
    </row>
    <row r="3" spans="1:2" x14ac:dyDescent="0.3">
      <c r="A3" s="17" t="s">
        <v>22</v>
      </c>
      <c r="B3">
        <v>88</v>
      </c>
    </row>
    <row r="4" spans="1:2" x14ac:dyDescent="0.3">
      <c r="A4" s="17" t="s">
        <v>27</v>
      </c>
      <c r="B4">
        <v>90</v>
      </c>
    </row>
    <row r="5" spans="1:2" x14ac:dyDescent="0.3">
      <c r="A5" s="17" t="s">
        <v>23</v>
      </c>
      <c r="B5">
        <v>95</v>
      </c>
    </row>
    <row r="6" spans="1:2" x14ac:dyDescent="0.3">
      <c r="A6" s="17" t="s">
        <v>26</v>
      </c>
      <c r="B6">
        <v>85</v>
      </c>
    </row>
    <row r="7" spans="1:2" x14ac:dyDescent="0.3">
      <c r="A7" s="17" t="s">
        <v>24</v>
      </c>
      <c r="B7">
        <v>73</v>
      </c>
    </row>
    <row r="8" spans="1:2" x14ac:dyDescent="0.3">
      <c r="A8" s="17" t="s">
        <v>91</v>
      </c>
      <c r="B8">
        <v>95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59BB-7D4C-4FD1-8F2F-C1A40051594E}">
  <dimension ref="A1:B6"/>
  <sheetViews>
    <sheetView workbookViewId="0">
      <selection activeCell="Q14" sqref="Q14"/>
    </sheetView>
  </sheetViews>
  <sheetFormatPr defaultRowHeight="14.4" x14ac:dyDescent="0.3"/>
  <cols>
    <col min="1" max="1" width="12.44140625" bestFit="1" customWidth="1"/>
    <col min="2" max="2" width="14.6640625" bestFit="1" customWidth="1"/>
  </cols>
  <sheetData>
    <row r="1" spans="1:2" x14ac:dyDescent="0.3">
      <c r="A1" s="16" t="s">
        <v>90</v>
      </c>
      <c r="B1" t="s">
        <v>92</v>
      </c>
    </row>
    <row r="2" spans="1:2" x14ac:dyDescent="0.3">
      <c r="A2" s="17" t="s">
        <v>43</v>
      </c>
      <c r="B2">
        <v>76</v>
      </c>
    </row>
    <row r="3" spans="1:2" x14ac:dyDescent="0.3">
      <c r="A3" s="17" t="s">
        <v>44</v>
      </c>
      <c r="B3">
        <v>73</v>
      </c>
    </row>
    <row r="4" spans="1:2" x14ac:dyDescent="0.3">
      <c r="A4" s="17" t="s">
        <v>95</v>
      </c>
      <c r="B4">
        <v>83.2</v>
      </c>
    </row>
    <row r="5" spans="1:2" x14ac:dyDescent="0.3">
      <c r="A5" s="17" t="s">
        <v>42</v>
      </c>
      <c r="B5">
        <v>82.5</v>
      </c>
    </row>
    <row r="6" spans="1:2" x14ac:dyDescent="0.3">
      <c r="A6" s="17" t="s">
        <v>91</v>
      </c>
      <c r="B6">
        <v>81.36363636363636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DC877-865C-4F2C-86B8-91CD383C189B}">
  <dimension ref="A1:B12"/>
  <sheetViews>
    <sheetView workbookViewId="0">
      <selection activeCell="Q15" sqref="Q15"/>
    </sheetView>
  </sheetViews>
  <sheetFormatPr defaultRowHeight="14.4" x14ac:dyDescent="0.3"/>
  <cols>
    <col min="1" max="1" width="12.44140625" bestFit="1" customWidth="1"/>
    <col min="2" max="2" width="17.77734375" bestFit="1" customWidth="1"/>
  </cols>
  <sheetData>
    <row r="1" spans="1:2" x14ac:dyDescent="0.3">
      <c r="A1" s="16" t="s">
        <v>90</v>
      </c>
      <c r="B1" t="s">
        <v>96</v>
      </c>
    </row>
    <row r="2" spans="1:2" x14ac:dyDescent="0.3">
      <c r="A2" s="17" t="s">
        <v>21</v>
      </c>
      <c r="B2">
        <v>0</v>
      </c>
    </row>
    <row r="3" spans="1:2" x14ac:dyDescent="0.3">
      <c r="A3" s="17" t="s">
        <v>0</v>
      </c>
      <c r="B3">
        <v>30000</v>
      </c>
    </row>
    <row r="4" spans="1:2" x14ac:dyDescent="0.3">
      <c r="A4" s="17" t="s">
        <v>20</v>
      </c>
      <c r="B4">
        <v>0</v>
      </c>
    </row>
    <row r="5" spans="1:2" x14ac:dyDescent="0.3">
      <c r="A5" s="17" t="s">
        <v>4</v>
      </c>
      <c r="B5">
        <v>15000</v>
      </c>
    </row>
    <row r="6" spans="1:2" x14ac:dyDescent="0.3">
      <c r="A6" s="17" t="s">
        <v>18</v>
      </c>
      <c r="B6">
        <v>0</v>
      </c>
    </row>
    <row r="7" spans="1:2" x14ac:dyDescent="0.3">
      <c r="A7" s="17" t="s">
        <v>15</v>
      </c>
      <c r="B7">
        <v>0</v>
      </c>
    </row>
    <row r="8" spans="1:2" x14ac:dyDescent="0.3">
      <c r="A8" s="17" t="s">
        <v>7</v>
      </c>
      <c r="B8">
        <v>12000</v>
      </c>
    </row>
    <row r="9" spans="1:2" x14ac:dyDescent="0.3">
      <c r="A9" s="17" t="s">
        <v>16</v>
      </c>
      <c r="B9">
        <v>0</v>
      </c>
    </row>
    <row r="10" spans="1:2" x14ac:dyDescent="0.3">
      <c r="A10" s="17" t="s">
        <v>10</v>
      </c>
      <c r="B10">
        <v>15000</v>
      </c>
    </row>
    <row r="11" spans="1:2" x14ac:dyDescent="0.3">
      <c r="A11" s="17" t="s">
        <v>13</v>
      </c>
      <c r="B11">
        <v>0</v>
      </c>
    </row>
    <row r="12" spans="1:2" x14ac:dyDescent="0.3">
      <c r="A12" s="17" t="s">
        <v>91</v>
      </c>
      <c r="B12">
        <v>72000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4B3ADE-1D16-4A63-B0F3-A3726AE3F2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Original</vt:lpstr>
      <vt:lpstr>Attendance</vt:lpstr>
      <vt:lpstr>Students</vt:lpstr>
      <vt:lpstr>Courses</vt:lpstr>
      <vt:lpstr>Enrollments</vt:lpstr>
      <vt:lpstr>Exams</vt:lpstr>
      <vt:lpstr>Instructors</vt:lpstr>
      <vt:lpstr>Payments</vt:lpstr>
      <vt:lpstr>Analysis Data</vt:lpstr>
      <vt:lpstr>Dashboard</vt:lpstr>
      <vt:lpstr>Average Score By Department</vt:lpstr>
      <vt:lpstr>Students By Department</vt:lpstr>
      <vt:lpstr>Top Scorer By Course</vt:lpstr>
      <vt:lpstr>Attendance vs Score</vt:lpstr>
      <vt:lpstr>Payment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Belgaumkar</dc:creator>
  <cp:lastModifiedBy>Chaitanya Belgaumkar</cp:lastModifiedBy>
  <dcterms:created xsi:type="dcterms:W3CDTF">2026-05-12T10:40:56Z</dcterms:created>
  <dcterms:modified xsi:type="dcterms:W3CDTF">2026-05-14T02:36:42Z</dcterms:modified>
</cp:coreProperties>
</file>